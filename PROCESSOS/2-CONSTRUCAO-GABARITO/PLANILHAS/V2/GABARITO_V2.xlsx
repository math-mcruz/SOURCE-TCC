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a" sheetId="1" r:id="rId5"/>
    <sheet state="visible" name="Resumo" sheetId="2" r:id="rId6"/>
    <sheet state="visible" name="Candidatos" sheetId="3" r:id="rId7"/>
    <sheet state="visible" name="Descartados" sheetId="4" r:id="rId8"/>
  </sheets>
  <definedNames>
    <definedName hidden="1" localSheetId="2" name="_xlnm._FilterDatabase">Candidatos!$A$1:$P$145</definedName>
    <definedName hidden="1" localSheetId="3" name="_xlnm._FilterDatabase">Descartados!$A$1:$I$57</definedName>
  </definedNames>
  <calcPr/>
</workbook>
</file>

<file path=xl/sharedStrings.xml><?xml version="1.0" encoding="utf-8"?>
<sst xmlns="http://schemas.openxmlformats.org/spreadsheetml/2006/main" count="2285" uniqueCount="1101">
  <si>
    <t>Gabarito (ground-truth)</t>
  </si>
  <si>
    <t>Origem</t>
  </si>
  <si>
    <t>Programas da CBSA na pasta ORIGINAL do repositório da base de dados (commit e22475691524ef72a92ee77f7040233e098ab1b9, ijmitch/cics-banking-sample-application-cbsa). Números de linha referem-se aos arquivos do ORIGINAL.</t>
  </si>
  <si>
    <t>Arquivos (SHA-256)</t>
  </si>
  <si>
    <t>DBCRFUN.cbl: 632917d17138331d540b05823c840eb204675ddb79ac9eac0d8d6d847982056f
XFRFUN.cbl: 9c642ade5e1211b77b7c264eaea18f8cf88cb035af32ed55c66278482e51013e
BNK1CRA.cbl: 061d73de30c1a3635db44b1f9dc8faebc71ea8e024fee48db499ad1ecda4ab97
BNK1TFN.cbl: 8bbc799b498a756a367ccf6dfb52d1d15579fe72332efbb86906e729edf519e2</t>
  </si>
  <si>
    <t>Como foi gerado</t>
  </si>
  <si>
    <t>Extração automática (script monta_planilha.py). Cada bloco de comentário da PROCEDURE DIVISION é pareado ao código que o segue, até o próximo comentário. O trecho exibido é limitado a 50 linhas, mas o filtro avalia o bloco inteiro. Quando o comentário vem logo após uma linha IF, ELSE, WHEN ou EVALUATE, essa linha (cabeçalho) é usada para reter o par se o corpo não tiver decisão nem falha, e aparece com o prefixo [cab.].</t>
  </si>
  <si>
    <t>Filtro (E4, seção 1.3)</t>
  </si>
  <si>
    <t>Retido: trecho com IF, EVALUATE ou WHEN, ou com tratamento de falha (ABEND, SQLCODE, HANDLE, DFHRESP, EIBRESP, EIBRCODE). O filtro é sintático: trechos de infraestrutura pura (rollback, ABEND de DB2/VSAM, storm drain) também aparecem aqui, porque contêm essas palavras-chave; a exclusão semântica é feita na revisão manual (coluna Categoria), não pelo script. Os demais (sem decisão nem falha) ficam na aba Descartados, para que o critério seja auditável.</t>
  </si>
  <si>
    <t>O que preencher</t>
  </si>
  <si>
    <t>Aba Candidatos, colunas J a M (fundo amarelo): Regra de negócio extraída, Categoria, Status e Observação, mesmas colunas usadas na revisão manual do DBCRFUN. Colunas O e P (amarelas): ID atômico (sub-regra), preenchido com a, b, c apenas quando o bloco contiver mais de uma regra, e Comentário defasado? (Sim ou Não), preenchido em toda linha revisada. Na aba Descartados, coluna I.</t>
  </si>
  <si>
    <t>Valores da revisão</t>
  </si>
  <si>
    <t>Categoria: regra de negócio, infraestrutura (excluída) ou a discutir (lista suspensa). Status: A validar ou Validado. Comentário defasado?: Sim = contradiz o código ou descreve algo que ele não faz; Incompleto = coerente, mas não cobre a regra toda; Não = coerente e completo. Em Descartados: Manter descartado ou Reincluir.</t>
  </si>
  <si>
    <t>Alertas</t>
  </si>
  <si>
    <t>possível código desativado: o comentário parece uma instrução COBOL comentada. comentário curto: até 3 palavras. trecho truncado: o código do par passa do limite de linhas exibidas; a coluna Linhas do código mostra o intervalo completo e a classificação considerou todo o bloco. comentários adjacentes fundidos: o bloco seguinte de comentário foi unido porque o trecho entre eles não tinha código ativo. decisão no cabeçalho anterior ao comentário: o par foi retido pela linha IF/ELSE/WHEN/EVALUATE que precede o comentário (linhas indicadas; também no código da linha anterior da planilha). comentário delega lógica (PERFORM): o trecho só chama outro parágrafo; a regra pode estar no parágrafo executado. contém GO TO: há desvio incondicional no trecho. Qtd decisões (coluna N): total de IF, EVALUATE e WHEN do bloco inteiro (+1 quando o par foi retido pelo cabeçalho); é uma contagem, não a profundidade de aninhamento. comentário menciona condição (aba Descartados): o comentário descreve uma condição, mas o trecho seguinte é só ação; a decisão pode estar antes no fonte.</t>
  </si>
  <si>
    <t>Limitações</t>
  </si>
  <si>
    <t>A triagem é heurística e não substitui a revisão dupla. Comentários de cabeçalho (antes da PROCEDURE DIVISION) não entram. Regras sem comentário associado não geram par. Linhas de depuração (indicador D) aparecem com o prefixo [D]. O tipo (Decisão, Falha, Decisão e falha) é atribuído ao bloco inteiro, não ao comentário isolado. O cabeçalho IF/ELSE que precede um comentário continua também no código do par anterior (cada linha de código pertence a um único par, exceto o cabeçalho exibido como contexto).</t>
  </si>
  <si>
    <t>Rascunho (assistente)</t>
  </si>
  <si>
    <t>Colunas J, K e M preenchidas como rascunho em fonte azul; a Observação inicia por '[Rascunho]'. Status mantido em 'A validar'. Ao conferir uma linha no fonte, ajustar o texto, trocar a fonte para preta e atualizar o Status. Linhas com a categoria 'a discutir' ou 'infraestrutura (excluída)' sem regra em J são sugestões de classificação, não decisões.</t>
  </si>
  <si>
    <t>Reincluídas</t>
  </si>
  <si>
    <t>Blocos marcados como 'Reincluir' na aba Descartados são registrados ao final da aba Candidatos, com o mesmo ID, Tipo 'Reincluído' e Estruturas 'procedural'. Na aba Resumo, deixam de ser contados como descartados e passam a contar como candidatos retidos (a soma de Decisão, Falha e Decisão e falha fica menor que Candidatos retidos pelo número de reincluídas).</t>
  </si>
  <si>
    <t>Exemplo de regra atômica</t>
  </si>
  <si>
    <t>Ilustrativo, não faz parte do gabarito: "Se o valor solicitado for um débito e o saldo disponível for insuficiente, a solicitação é negada." (uma condição e uma consequência por regra)</t>
  </si>
  <si>
    <t>Programa</t>
  </si>
  <si>
    <t>Blocos com texto</t>
  </si>
  <si>
    <t>Candidatos retidos</t>
  </si>
  <si>
    <t>Descartados</t>
  </si>
  <si>
    <t>Decisão</t>
  </si>
  <si>
    <t>Falha</t>
  </si>
  <si>
    <t>Decisão e falha</t>
  </si>
  <si>
    <t>Com alertas</t>
  </si>
  <si>
    <t>Regra de negócio</t>
  </si>
  <si>
    <t>Infraestrutura (excluída)</t>
  </si>
  <si>
    <t>A discutir</t>
  </si>
  <si>
    <t>Validados</t>
  </si>
  <si>
    <t>Pendentes</t>
  </si>
  <si>
    <t>Defasagem avaliada</t>
  </si>
  <si>
    <t>Comentário defasado (Sim)</t>
  </si>
  <si>
    <t>DBCRFUN</t>
  </si>
  <si>
    <t>XFRFUN</t>
  </si>
  <si>
    <t>BNK1CRA</t>
  </si>
  <si>
    <t>BNK1TFN</t>
  </si>
  <si>
    <t>TOTAL</t>
  </si>
  <si>
    <t>Contagens por fórmula: atualizam conforme a revisão é preenchida na aba Candidatos.</t>
  </si>
  <si>
    <t>ID</t>
  </si>
  <si>
    <t>Linhas do comentário</t>
  </si>
  <si>
    <t>Linhas do código</t>
  </si>
  <si>
    <t>Comentário</t>
  </si>
  <si>
    <t>Trecho de código</t>
  </si>
  <si>
    <t>Tipo</t>
  </si>
  <si>
    <t>Estruturas</t>
  </si>
  <si>
    <t>Regra de negócio extraída</t>
  </si>
  <si>
    <t>Categoria</t>
  </si>
  <si>
    <t>Status</t>
  </si>
  <si>
    <t>Observação</t>
  </si>
  <si>
    <t>Qtd decisões</t>
  </si>
  <si>
    <t>ID atômico (sub-regra)</t>
  </si>
  <si>
    <t>Comentário defasado?</t>
  </si>
  <si>
    <t>DBCRFUN-001</t>
  </si>
  <si>
    <t>205</t>
  </si>
  <si>
    <t>207-212</t>
  </si>
  <si>
    <t>Set up some Abend handling</t>
  </si>
  <si>
    <t xml:space="preserve">    EXEC CICS HANDLE ABEND
       LABEL(ABEND-HANDLING)
    END-EXEC.
    MOVE SORTCODE TO COMM-SORTC.
    MOVE SORTCODE TO DESIRED-SORT-CODE.</t>
  </si>
  <si>
    <t>falha</t>
  </si>
  <si>
    <t>infraestrutura (excluída)</t>
  </si>
  <si>
    <t>Validado</t>
  </si>
  <si>
    <t>Configuração do tratamento de ABEND (HANDLE ABEND) e cópia do código da agência (SORTCODE), sem decisão de negócio.</t>
  </si>
  <si>
    <t>DBCRFUN-005</t>
  </si>
  <si>
    <t>276-277</t>
  </si>
  <si>
    <t>279-287</t>
  </si>
  <si>
    <t>Check that select was successful. If it wasn't then deal with it</t>
  </si>
  <si>
    <t xml:space="preserve">    IF SQLCODE NOT = 0
       MOVE 'N' TO COMM-SUCCESS
       IF SQLCODE = +100
          MOVE '1' TO COMM-FAIL-CODE
       ELSE
          MOVE '2' TO COMM-FAIL-CODE
       END-IF</t>
  </si>
  <si>
    <t>IF, falha</t>
  </si>
  <si>
    <t xml:space="preserve">Se a conta solicitada não for encontrada (SQLCODE igual a +100), a operação é sinalizada como malsucedida com o código de falha '1'.
</t>
  </si>
  <si>
    <t>regra de negócio</t>
  </si>
  <si>
    <t>O código '1' tem semântica de domínio. O código '2' (SQLCODE diferente de zero e de +100) corresponde a falha técnica de DB2 e não integra a regra, pelo mesmo critério da DBCRFUN-013 (infraestrutura). O IF externo termina na DBCRFUN-006 (Descartados): PERFORM CHECK-FOR-STORM-DRAIN-DB2 e GO TO UAD999 (infraestrutura).</t>
  </si>
  <si>
    <t>Não</t>
  </si>
  <si>
    <t>DBCRFUN-007</t>
  </si>
  <si>
    <t>301-304</t>
  </si>
  <si>
    <t>307</t>
  </si>
  <si>
    <t>Is the amount being requested a debit or a credit? If it is a CREDIT (+) then we don't need to ensure that the available balance has sufficient funds, because this is money coming in.</t>
  </si>
  <si>
    <t xml:space="preserve">    IF COMM-AMT &lt; 0</t>
  </si>
  <si>
    <t>IF</t>
  </si>
  <si>
    <t>Se o valor solicitado for crédito (não negativo), a suficiência do saldo disponível não é verificada.</t>
  </si>
  <si>
    <t>O código contém só a condição (COMM-AMT &lt; 0); as consequências do débito estão na DBCRFUN-008. Não há ELSE: crédito e valor zero não entram no bloco. A checagem de MORTGAGE/LOAN reaparece após o END-IF (DBCRFUN-009).</t>
  </si>
  <si>
    <t>DBCRFUN-008</t>
  </si>
  <si>
    <t>309-328</t>
  </si>
  <si>
    <t>316-352</t>
  </si>
  <si>
    <t>The amount being requested is a DEBIT/Payment (-) so we do need to check that the available balance is sufficient to cover the amount being asked for. If there are NOT sufficient funds the request is denied so remove the record LOCK and and finish. Check to see whether the Payment is being requested from a MORTGAGE or LOAN account. We only make this check for PAYMENTs (we don't make this check for requests via the Teller). How do we know it is a PAYMENT as opposed to a Teller, this is determined by the COMM-FACILTYPE(496 = NONE) If it is a PAYMENT being requested from a MORTGAGE or LOAN account then set an appropriate fail code (4) and finish up.</t>
  </si>
  <si>
    <t>[D]        DISPLAY 'COMM-AMT IS negative'
       IF (HV-ACCOUNT-ACC-TYPE = 'MORTGAGE'
       AND COMM-FACILTYPE = 496)
       OR (HV-ACCOUNT-ACC-TYPE = 'LOAN    '
       AND COMM-FACILTYPE = 496)
          MOVE 'N' TO COMM-SUCCESS
          MOVE '4' TO COMM-FAIL-CODE
          GO TO UAD999
       END-IF
       MOVE 0 TO WS-DIFFERENCE
       COMPUTE WS-DIFFERENCE = HV-ACCOUNT-AVAIL-BAL
          + COMM-AMT
       IF WS-DIFFERENCE &lt; 0 AND COMM-FACILTYPE = 496
[D]           DISPLAY 'insufficient funds!'
          MOVE 'N' TO COMM-SUCCESS
          MOVE '3' TO COMM-FAIL-CODE
          GO TO UAD999
       END-IF
    END-IF.</t>
  </si>
  <si>
    <t>comentários adjacentes fundidos; contém GO TO (desvio incondicional)</t>
  </si>
  <si>
    <t>1. Se o valor solicitado for um débito, a solicitação vier por pagamento (COMM-FACILTYPE igual a 496) e a conta for do tipo MORTGAGE ou LOAN, a solicitação é negada com o código de falha '4'.
2. Se o valor solicitado for um débito, a solicitação vier por pagamento (COMM-FACILTYPE igual a 496) e o saldo disponível após o débito for negativo, a solicitação é negada com o código de falha '3'.</t>
  </si>
  <si>
    <t>Comentário e código divergem: o comentário diz que todo débito exige saldo suficiente, mas o código só nega por saldo insuficiente quando COMM-FACILTYPE = 496. Saldo zero após o débito é aceito (negação só se a diferença for menor que zero). A checagem MORTGAGE/LOAN vem antes da de saldo: conta MORTGAGE sem saldo resulta em '4', não '3'. O comentário cita 'remove the record LOCK', mas não há comando de liberação de lock no trecho. Comentários adjacentes fundidos; linhas [D] ignoradas (depuração). Linha vale por duas regras.</t>
  </si>
  <si>
    <t>Sim</t>
  </si>
  <si>
    <t>DBCRFUN-009</t>
  </si>
  <si>
    <t>356-366</t>
  </si>
  <si>
    <t>368-376</t>
  </si>
  <si>
    <t>Check to see whether a Credit is being requested from a MORTGAGE or LOAN account. We only make this check for requests via the PAYMENT link (we don't make this check for requests via the Teller). How do we know it is a PAYMENT as opposed to a Teller, this is determined by the COMM-FACILTYPE(496 = NONE) If it is a PAYMENT credit being requested from a MORTGAGE or LOAN account then set an appropriate fail code (4), remove the record lock and finish up.</t>
  </si>
  <si>
    <t xml:space="preserve">    IF (HV-ACCOUNT-ACC-TYPE = 'MORTGAGE' AND
    COMM-FACILTYPE = 496)
    OR (HV-ACCOUNT-ACC-TYPE = 'LOAN    '
    AND COMM-FACILTYPE = 496)
       MOVE 'N' TO COMM-SUCCESS
       MOVE '4' TO COMM-FAIL-CODE
       GO TO UAD999
    END-IF.</t>
  </si>
  <si>
    <t>contém GO TO (desvio incondicional)</t>
  </si>
  <si>
    <t>Se a solicitação vier por pagamento (COMM-FACILTYPE igual a 496) e a conta for do tipo MORTGAGE ou LOAN, a solicitação é negada com o código de falha '4'.</t>
  </si>
  <si>
    <t>Mesma condição da regra 1 da DBCRFUN-008, repetida fora do bloco de débito (após o END-IF). Como o débito já sai por GO TO UAD999 na 008, esta checagem só alcança créditos na prática, embora o código não teste o sinal do valor (o comentário fala em 'Credit'). O comentário cita 'remove the record lock', sem comando correspondente. Mantida como entrada separada (critério de não fundir duplicatas); conferir fonte, linhas 356-376.</t>
  </si>
  <si>
    <t>DBCRFUN-012</t>
  </si>
  <si>
    <t>411-412</t>
  </si>
  <si>
    <t>414-419</t>
  </si>
  <si>
    <t>If the rewrite was successful then we need to pass back the amended available balance and actual balance.</t>
  </si>
  <si>
    <t xml:space="preserve">    MOVE SQLCODE TO SQLCODE-DISPLAY.
    MOVE HV-ACCOUNT-AVAIL-BAL TO
       COMM-AV-BAL.
    MOVE HV-ACCOUNT-ACTUAL-BAL TO
       COMM-ACT-BAL.</t>
  </si>
  <si>
    <t>Sem estrutura de decisão (retido por conter 'SQLCODE'). O comentário diz 'if the rewrite was successful', mas os MOVE de saldos ocorrem sem condição, antes do IF SQLCODE NOT = 0 (DBCRFUN-013): os saldos são devolvidos mesmo se a atualização falhar.</t>
  </si>
  <si>
    <t>DBCRFUN-013</t>
  </si>
  <si>
    <t>422-423</t>
  </si>
  <si>
    <t>425-427</t>
  </si>
  <si>
    <t>If the RESP CODE was NOT OK then we need to set flags accordingly</t>
  </si>
  <si>
    <t xml:space="preserve">    IF SQLCODE NOT = 0
       MOVE 'N' TO COMM-SUCCESS
       MOVE '2' TO COMM-FAIL-CODE</t>
  </si>
  <si>
    <t>Falha técnica de DB2 na atualização, excluída como infraestrutura (mesmo critério aplicado ao código '2' da DBCRFUN-005). O código '2' chega ao usuário como 'unexpected error' (BNK1CRA-025). O trecho termina antes do tratamento de storm drain (DBCRFUN-014, Descartados).</t>
  </si>
  <si>
    <t>DBCRFUN-017</t>
  </si>
  <si>
    <t>473</t>
  </si>
  <si>
    <t>475-493</t>
  </si>
  <si>
    <t>Populate the current time and date</t>
  </si>
  <si>
    <t xml:space="preserve">    EXEC CICS ASKTIME
       ABSTIME(WS-U-TIME)
    END-EXEC.
    EXEC CICS FORMATTIME
              ABSTIME(WS-U-TIME)
              DDMMYYYY(WS-ORIG-DATE)
              TIME(HV-PROCTRAN-TIME)
              DATESEP('.')
    END-EXEC.
    MOVE WS-ORIG-DATE TO WS-ORIG-DATE-GRP-X.
    MOVE WS-ORIG-DATE-GRP-X TO HV-PROCTRAN-DATE.
    MOVE SPACES TO HV-PROCTRAN-DESC.
    IF COMM-AMT &lt; 0
       MOVE 'DEB' TO HV-PROCTRAN-TYPE
       MOVE 'COUNTER WTHDRW' TO HV-PROCTRAN-DESC</t>
  </si>
  <si>
    <t>Se o valor solicitado for negativo (débito), a transação registrada recebe o tipo 'DEB' e a descrição 'COUNTER WTHDRW'.</t>
  </si>
  <si>
    <t>O trecho inclui ASKTIME/FORMATTIME (data e hora da transação; procedural, fora da regra). O tipo 'DEB' é sobrescrito por 'PDR' quando a solicitação vem por pagamento (DBCRFUN-018). O ELSE de crédito ('CRE') também está na 018. A condição COMM-AMT &lt; 0 repete a da DBCRFUN-007.</t>
  </si>
  <si>
    <t>DBCRFUN-018</t>
  </si>
  <si>
    <t>496</t>
  </si>
  <si>
    <t>498-506</t>
  </si>
  <si>
    <t>If it is a debit from a PAYMENT</t>
  </si>
  <si>
    <t xml:space="preserve">       IF COMM-FACILTYPE = 496
          MOVE 'PDR' TO HV-PROCTRAN-TYPE
          MOVE COMM-ORIGIN(1:14) TO
             HV-PROCTRAN-DESC
       END-IF
    ELSE
       MOVE 'CRE' TO HV-PROCTRAN-TYPE
       MOVE 'COUNTER RECVED' TO HV-PROCTRAN-DESC</t>
  </si>
  <si>
    <t>1. Se o valor solicitado for um débito feito por pagamento (COMM-FACILTYPE igual a 496), o tipo da transação registrada passa a 'PDR' e a descrição recebe os 14 primeiros caracteres da origem (COMM-ORIGIN).
2. Se o valor solicitado for crédito (não negativo), a transação registrada recebe o tipo 'CRE' e a descrição 'COUNTER RECVED'.</t>
  </si>
  <si>
    <t>O ELSE fecha o IF COMM-AMT &lt; 0 aberto na DBCRFUN-017; o comentário cobre apenas a regra 1. Linha vale por duas regras.</t>
  </si>
  <si>
    <t>Incompleto</t>
  </si>
  <si>
    <t>DBCRFUN-019</t>
  </si>
  <si>
    <t>509</t>
  </si>
  <si>
    <t>511-519</t>
  </si>
  <si>
    <t>If it is a credit from a PAYMENT</t>
  </si>
  <si>
    <t xml:space="preserve">       IF COMM-FACILTYPE = 496
          MOVE 'PCR' TO HV-PROCTRAN-TYPE
          MOVE COMM-ORIGIN(1:14) TO
             HV-PROCTRAN-DESC
       END-IF
    END-IF.
    MOVE COMM-AMT TO HV-PROCTRAN-AMOUNT.</t>
  </si>
  <si>
    <t>Se o valor solicitado for um crédito feito por pagamento (COMM-FACILTYPE igual a 496), o tipo da transação registrada passa a 'PCR' e a descrição recebe os 14 primeiros caracteres da origem (COMM-ORIGIN).</t>
  </si>
  <si>
    <t>IF aninhado no ramo de crédito (ELSE da 018). O MOVE COMM-AMT TO HV-PROCTRAN-AMOUNT ao final é procedural e fica fora da regra.</t>
  </si>
  <si>
    <t>DBCRFUN-021</t>
  </si>
  <si>
    <t>552</t>
  </si>
  <si>
    <t>554-559</t>
  </si>
  <si>
    <t>Check the SQLCODE</t>
  </si>
  <si>
    <t xml:space="preserve">    IF SQLCODE NOT = 0
       MOVE SQLCODE TO SQLCODE-DISPLAY
       DISPLAY 'UNABLE TO WRITE TO PROCTRAN DB2 DATASTORE'
       ' SQLCODE=' SQLCODE-DISPLAY
       'WITH THE FOLLOWING DATA:' HOST-PROCTRAN-ROW</t>
  </si>
  <si>
    <t>comentário curto</t>
  </si>
  <si>
    <t>Falha na gravação em PROCTRAN (DB2): exibe diagnóstico; o rollback (022) e o ABEND (023) completam o tratamento. Falha técnica, fora do escopo pelo critério de infraestrutura. O efeito (operação desfeita se o registro falhar) é regra de consistência.</t>
  </si>
  <si>
    <t>DBCRFUN-022</t>
  </si>
  <si>
    <t>561-562</t>
  </si>
  <si>
    <t>564-569</t>
  </si>
  <si>
    <t>You need to issue a ROLLBACK to get rid of the updated ACCOUNT record</t>
  </si>
  <si>
    <t xml:space="preserve">       EXEC CICS SYNCPOINT ROLLBACK
          RESP(WS-CICS-RESP)
          RESP2(WS-CICS-RESP2)
       END-EXEC
       IF WS-CICS-RESP NOT = DFHRESP(NORMAL)</t>
  </si>
  <si>
    <t>Rollback da atualização da conta (SYNCPOINT ROLLBACK) e verificação do RESP; infraestrutura transacional.</t>
  </si>
  <si>
    <t>DBCRFUN-023</t>
  </si>
  <si>
    <t>571-574</t>
  </si>
  <si>
    <t>576-578</t>
  </si>
  <si>
    <t>Preserve the RESP and RESP2, then set up the standard ABEND info before getting the applid, date/time etc. and linking to the Abend Handler program.</t>
  </si>
  <si>
    <t xml:space="preserve">          INITIALIZE ABNDINFO-REC
          MOVE EIBRESP    TO ABND-RESPCODE
          MOVE EIBRESP2   TO ABND-RESP2CODE</t>
  </si>
  <si>
    <t>Montagem padrão das informações de ABEND (INITIALIZE ABNDINFO-REC; MOVE EIBRESP/EIBRESP2); tratamento técnico sem semântica bancária.</t>
  </si>
  <si>
    <t>DBCRFUN-024</t>
  </si>
  <si>
    <t>580</t>
  </si>
  <si>
    <t>582-637</t>
  </si>
  <si>
    <t>Get supplemental information</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</si>
  <si>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'WTPD010 - COULD NOT ROLL BACK, POSSIBLE DATA'
                DELIMITED BY SIZE,
                'INTEGRITY ISSUE BETWEEN ACCOUNT AND PROCTRAN '
                DELIMITED BY SIZE,
                'FOR ROW:' DELIMITED BY SIZE,
                HOST-PROCTRAN-ROW DELIMITED BY SIZE,
                'EIBRESP=' DELIMITED BY SIZE,
                ABND-RESPCODE DELIMITED BY SIZE,
                ' RESP2=' DELIMITED BY SIZE,
                ABND-RESP2CODE DELIMITED BY SIZE
                INTO ABND-FREEFORM
          END-STRING
          EXEC CICS LINK PROGRAM(WS-ABEND-PGM)
                    COMMAREA(ABNDINFO-REC)
          END-EXEC
          DISPLAY ' COULD NOT ROLL BACK, POSSIBLE DATA '
             'INTEGRITY ISSUE BETWEEN ACCOUNT AND PROCTRAN '
             'FOR ROW:' HOST-PROCTRAN-ROW
             'RESP CODE=' WS-CICS-RESP ' RESP2 CODE='
             WS-CICS-RESP2
          EXEC CICS ABEND
             ABCODE ('HROL')
             CANCEL
          END-EXEC
       END-IF
       MOVE 'N' TO COMM-SUCCESS
       MOVE '02' TO COMM-FAIL-CODE</t>
  </si>
  <si>
    <t>Coleta de informações complementares de ABEND (PERFORM POPULATE-TIME-DATE, LINK ao tratador de ABEND, ABEND); tratamento técnico sem semântica bancária. Estava como 'Manter descartado' na planilha anterior; o script agora o retém por conter ABEND (antes o trecho era cortado antes dele).</t>
  </si>
  <si>
    <t>DBCRFUN-026</t>
  </si>
  <si>
    <t>647</t>
  </si>
  <si>
    <t>644; 649-669</t>
  </si>
  <si>
    <t>If the WRITE to PROCTRAN worked then it was a success</t>
  </si>
  <si>
    <t>[cab.]     ELSE
       MOVE 'Y' TO COMM-SUCCESS
       MOVE '0' TO COMM-FAIL-CODE
    END-IF.
WTPD999.
    EXIT.
GET-ME-OUT-OF-HERE SECTION.
GMOOH010.
    EXEC CICS RETURN
    END-EXEC.
    GOBACK.
GMOOH999.
    EXIT.
CHECK-FOR-STORM-DRAIN-DB2 SECTION.
CFSDD010.</t>
  </si>
  <si>
    <t>ELSE (cabeçalho)</t>
  </si>
  <si>
    <t>decisão no cabeçalho anterior ao comentário (linha 644)</t>
  </si>
  <si>
    <t>Se a gravação em PROCTRAN for bem-sucedida, a operação é sinalizada como bem-sucedida (COMM-SUCCESS igual a 'Y') com o código de falha '0'.</t>
  </si>
  <si>
    <t>Reincluída da aba Descartados (motivo do descarte: procedural, sem decisão nem tratamento de falha). Ramo ELSE do IF SQLCODE NOT = 0 da gravação em PROCTRAN (ramo de falha na DBCRFUN-021, classificado como infraestrutura). É o único ponto em que COMM-SUCCESS recebe 'Y': o sucesso da operação depende da gravação do registro. O trecho extraído inclui as seções seguintes (GET-ME-OUT-OF-HERE e CHECK-FOR-STORM-DRAIN-DB2), por corte do extrator; ficam fora da regra.</t>
  </si>
  <si>
    <t>DBCRFUN-027</t>
  </si>
  <si>
    <t>671-672</t>
  </si>
  <si>
    <t>675-695</t>
  </si>
  <si>
    <t>Check if the Sqclode that is returned one that will trigger Storm Drain is active in Workload</t>
  </si>
  <si>
    <t xml:space="preserve">    EVALUATE SQLCODE
       WHEN 923
          MOVE 'DB2 Connection lost ' TO STORM-DRAIN-CONDITION
       WHEN OTHER
          MOVE 'Not Storm Drain     ' TO STORM-DRAIN-CONDITION
    END-EVALUATE.
    IF STORM-DRAIN-CONDITION NOT EQUAL 'Not Storm Drain     '
       DISPLAY 'DBCRFUN: Check-For-Storm-Drain-DB2: Storm '
               'Drain condition (' STORM-DRAIN-CONDITION ') '
               'has been met (' SQLCODE-DISPLAY ').'
    ELSE
       CONTINUE
    END-IF.
CFSDD999.
    EXIT.</t>
  </si>
  <si>
    <t>IF, EVALUATE, WHEN, falha</t>
  </si>
  <si>
    <t>Verificação de condição de storm drain do DB2 (EVALUATE SQLCODE, WHEN 923); infraestrutura.</t>
  </si>
  <si>
    <t>DBCRFUN-029</t>
  </si>
  <si>
    <t>708-713</t>
  </si>
  <si>
    <t>716</t>
  </si>
  <si>
    <t>Evaluate the Abend code that is returned - For DB2 AD2Z ... provide some diagnostics - For VSAM RLS abends: AFCR, AFCS and AFCT record the Abend as happening but do not abend ... leave this to CPSM WLM "Storm drain" (Abend probability) to handle If not a "storm drain" ... take the abend afterwards</t>
  </si>
  <si>
    <t xml:space="preserve">    EVALUATE MY-ABEND-CODE</t>
  </si>
  <si>
    <t>EVALUATE</t>
  </si>
  <si>
    <t>Avaliação do código de ABEND (EVALUATE MY-ABEND-CODE) para diagnóstico e storm drain de DB2 e VSAM; infraestrutura.</t>
  </si>
  <si>
    <t>DBCRFUN-030</t>
  </si>
  <si>
    <t>718</t>
  </si>
  <si>
    <t>720-735</t>
  </si>
  <si>
    <t>DB2 AD2Z abend</t>
  </si>
  <si>
    <t xml:space="preserve">       WHEN 'AD2Z'
          MOVE SQLCODE TO SQLCODE-DISPLAY
          DISPLAY 'DB2 DEADLOCK DETECTED IN DBCRFUN, SQLCODE='
             SQLCODE-DISPLAY
          DISPLAY 'DB2 DEADLOCK FOR ACCOUNT '
            HV-ACCOUNT-ACC-NO
          DISPLAY  'SQLSTATE=' SQLSTATE
                 ',SQLERRMC=' SQLERRMC(1:SQLERRML)
                 ',SQLERRD(1)=' SQLERRD(1)
                 ',SQLERRD(2)=' SQLERRD(2)
                 ',SQLERRD(3)=' SQLERRD(3)
                 ',SQLERRD(4)=' SQLERRD(4)
                 ',SQLERRD(5)=' SQLERRD(5)
                 ',SQLERRD(6)=' SQLERRD(6)</t>
  </si>
  <si>
    <t>WHEN, falha</t>
  </si>
  <si>
    <t>Tratamento do ABEND AD2Z (deadlock DB2) com exibição de diagnósticos; infraestrutura.</t>
  </si>
  <si>
    <t>DBCRFUN-031</t>
  </si>
  <si>
    <t>738-740</t>
  </si>
  <si>
    <t>742-756</t>
  </si>
  <si>
    <t>VSAM RLS abends, subject to CPSM WLM Storm Drain check if handled (as here) and Workload Abend Thresholds are set.</t>
  </si>
  <si>
    <t xml:space="preserve">       WHEN 'AFCR'
       WHEN 'AFCS'
       WHEN 'AFCT'
          MOVE 'Y' TO WS-STORM-DRAIN
          DISPLAY 'DBCRFUN: Check-For-Storm-Drain-VSAM: Storm '
                 'Drain condition (Abend ' MY-ABEND-CODE ') '
                 'has been met.'
          EXEC CICS SYNCPOINT
             ROLLBACK
             RESP(WS-CICS-RESP)
             RESP2(WS-CICS-RESP2)
          END-EXEC
          IF WS-CICS-RESP NOT = DFHRESP(NORMAL)</t>
  </si>
  <si>
    <t>IF, WHEN, falha</t>
  </si>
  <si>
    <t>Tratamento dos ABEND AFCR, AFCS e AFCT (VSAM RLS, storm drain) com rollback; infraestrutura.</t>
  </si>
  <si>
    <t>DBCRFUN-032</t>
  </si>
  <si>
    <t>758-761</t>
  </si>
  <si>
    <t>763-765</t>
  </si>
  <si>
    <t xml:space="preserve">             INITIALIZE ABNDINFO-REC
             MOVE EIBRESP    TO ABND-RESPCODE
             MOVE EIBRESP2   TO ABND-RESP2CODE</t>
  </si>
  <si>
    <t>DBCRFUN-033</t>
  </si>
  <si>
    <t>767</t>
  </si>
  <si>
    <t>769-861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</si>
  <si>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Synpoint '
                DELIMITED BY SIZE,
                'Rollback.' DELIMITED BY SIZE,
                ' Possible Integrity issue following VSAM RLS '
                DELIMITED BY SIZE,
                'abend.' DELIMITED BY SIZE,
                'EIBRESP=' DELIMITED BY SIZE,
                ABND-RESPCODE DELIMITED BY SIZE,
                ' RESP2=' DELIMITED BY SIZE,
                ABND-RESP2CODE DELIMITED BY SIZE
                INTO ABND-FREEFORM
             END-STRING
             EXEC CICS LINK PROGRAM(WS-ABEND-PGM)
                    COMMAREA(ABNDINFO-REC)
             END-EXEC
             DISPLAY 'DBCRFUN: Unable to perform Synpoint '
                'Rollback.'
                ' Possible Integrity issue following VSAM RLS'
                ' abend'
                ' RESP CODE=' WS-CICS-RESP
                ' RESP2 CODE=' WS-CICS-RESP2
             EXEC CICS ABEND
                ABCODE ('HROL')
                CANCEL
             END-EXEC
          END-IF
          MOVE 'N' TO COMM-SUCCESS
          MOVE '2' TO COMM-FAIL-CODE
          EXEC CICS RETURN
          END-EXEC
    END-EVALUATE.
    IF WS-STORM-DRAIN = 'N'</t>
  </si>
  <si>
    <t>comentário curto; trecho truncado (exibidas 50 de 71 linhas)</t>
  </si>
  <si>
    <t>Coleta de informações complementares de ABEND (PERFORM POPULATE-TIME-DATE, LINK ao tratador de ABEND, ABEND); tratamento técnico sem semântica bancária. Inclui a verificação de storm drain (IF WS-STORM-DRAIN = 'N' seguido de ABEND), que você definiu como infraestrutura. Exibidas 50 de 71 linhas: conferir no fonte o final do trecho (até a linha 861). Estava como 'Manter descartado' na planilha anterior.</t>
  </si>
  <si>
    <t>XFRFUN-001</t>
  </si>
  <si>
    <t>286-287</t>
  </si>
  <si>
    <t>289-296</t>
  </si>
  <si>
    <t>If the amount being transferred is negative, then flag this as a failure and finish.</t>
  </si>
  <si>
    <t xml:space="preserve">    IF COMM-AMT &lt;= ZERO
      MOVE 'N' TO COMM-SUCCESS
      MOVE '4' TO COMM-FAIL-CODE
      PERFORM GET-ME-OUT-OF-HERE
    END-IF.
    PERFORM UPDATE-ACCOUNT-DB2</t>
  </si>
  <si>
    <t>Se o valor a transferir for menor ou igual a zero, a transferência é negada e a operação é sinalizada como malsucedida com o código de falha '4'.</t>
  </si>
  <si>
    <t>Divergência: o comentário fala em valor negativo, mas o código testa &lt;= ZERO, ou seja, zero também é recusado. O código '4' é traduzido na tela como 'Please supply an amount greater than zero.' (BNK1TFN-026). A consequência final (GET-ME-OUT-OF-HERE) encerra o programa; o PERFORM UPDATE-ACCOUNT-DB2 ao fim do trecho fica fora da regra.</t>
  </si>
  <si>
    <t>XFRFUN-003</t>
  </si>
  <si>
    <t>313-314</t>
  </si>
  <si>
    <t>316-317</t>
  </si>
  <si>
    <t>Are we trying to transfer from and to the same account? We don't allow that.</t>
  </si>
  <si>
    <t xml:space="preserve">    IF COMM-FACCNO = COMM-TACCNO
       AND COMM-FSCODE = COMM-TSCODE</t>
  </si>
  <si>
    <t>Se a conta de origem e a conta de destino forem a mesma (mesmo número e mesmo código de agência), a transferência não é permitida e o programa é encerrado com ABEND de código 'SAME'.</t>
  </si>
  <si>
    <t>Esta linha contém só a condição. A consequência (DISPLAY 'Cannot transfer to the same account' e ABEND 'SAME') está no bloco seguinte do fonte (linhas 318-379), fundido na XFRFUN-004 pelo extrator. A mesma restrição é validada na tela em BNK1TFN-019 (contas devem ser diferentes), com mensagem ao usuário.</t>
  </si>
  <si>
    <t>XFRFUN-004</t>
  </si>
  <si>
    <t>319-322</t>
  </si>
  <si>
    <t>324-326</t>
  </si>
  <si>
    <t xml:space="preserve">       INITIALIZE ABNDINFO-REC
       MOVE EIBRESP    TO ABND-RESPCODE
       MOVE EIBRESP2   TO ABND-RESP2CODE</t>
  </si>
  <si>
    <t>Montagem de ABEND que compõe a consequência do IF de mesma conta (XFRFUN-003); a regra de negócio está registrada na 003. Montagem padrão das informações de ABEND (INITIALIZE ABNDINFO-REC; MOVE EIBRESP/EIBRESP2); tratamento técnico sem semântica bancária.</t>
  </si>
  <si>
    <t>XFRFUN-005</t>
  </si>
  <si>
    <t>328</t>
  </si>
  <si>
    <t>330-378</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</si>
  <si>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'SAME'      TO ABND-CODE
       EXEC CICS ASSIGN PROGRAM(ABND-PROGRAM)
       END-EXEC
       MOVE ZEROS      TO ABND-SQLCODE
       STRING 'UAD010 - Cannot transfer to the same account '
            DELIMITED BY SIZE,
            ' EIBRESP=' DELIMITED BY SIZE,
            ABND-RESPCODE DELIMITED BY SIZE,
            ' RESP2=' DELIMITED BY SIZE,
            ABND-RESP2CODE DELIMITED BY SIZE
            INTO ABND-FREEFORM
       END-STRING
       EXEC CICS LINK PROGRAM(WS-ABEND-PGM)
                COMMAREA(ABNDINFO-REC)
       END-EXEC
       DISPLAY 'Cannot transfer to the same account'
       EXEC CICS ABEND
          ABCODE('SAME')
          NODUMP
          CANCEL
       END-EXEC
    END-IF.
    IF COMM-FACCNO &lt; COMM-TACCNO</t>
  </si>
  <si>
    <t>Coleta de informações complementares de ABEND (PERFORM POPULATE-TIME-DATE, LINK ao tratador de ABEND, ABEND); tratamento técnico sem semântica bancária. O IF da linha 378, no fim do trecho, é o cabeçalho da regra de ordem de atualização (XFRFUN-006); o tipo 'Decisão e falha' vem dele.</t>
  </si>
  <si>
    <t>XFRFUN-006</t>
  </si>
  <si>
    <t>380-381</t>
  </si>
  <si>
    <t>378; 383-384</t>
  </si>
  <si>
    <t>If the FROM account number is less than the TO account number</t>
  </si>
  <si>
    <t>[cab.]     IF COMM-FACCNO &lt; COMM-TACCNO
       MOVE COMM-FACCNO TO DESIRED-ACC-NO
       MOVE COMM-FSCODE TO DESIRED-SORT-CODE</t>
  </si>
  <si>
    <t>IF (cabeçalho)</t>
  </si>
  <si>
    <t>decisão no cabeçalho anterior ao comentário (linha 378)</t>
  </si>
  <si>
    <t>Se o número da conta de origem for menor que o número da conta de destino, a conta de origem é a primeira a ser atualizada.</t>
  </si>
  <si>
    <t>a discutir</t>
  </si>
  <si>
    <t>A validar</t>
  </si>
  <si>
    <t>[Rascunho] O IF da linha 378 vem antes do comentário e aparece como [cab.]. O comentário e o código só selecionam a conta de origem (MOVE para DESIRED-ACC-NO); a atualização está nas linhas seguintes (XFRFUN-007 e 008). Nenhum comentário do fonte explica por que a ordem depende do número da conta. O programa trata deadlock do DB2 com retentativas (DB2-DEADLOCK-RETRY), o que sugere controle de concorrência, mas isso é inferência. Decidir com o orientador se é regra de negócio ou infraestrutura.</t>
  </si>
  <si>
    <t>XFRFUN-008</t>
  </si>
  <si>
    <t>392</t>
  </si>
  <si>
    <t>394-398</t>
  </si>
  <si>
    <t>If the update was successful, update the TO account</t>
  </si>
  <si>
    <t xml:space="preserve">       IF COMM-SUCCESS = 'Y'
          MOVE COMM-TACCNO TO DESIRED-ACC-NO
          MOVE COMM-TSCODE TO DESIRED-SORT-CODE
          PERFORM UPDATE-ACCOUNT-DB2-TO</t>
  </si>
  <si>
    <t>Se a atualização da conta de origem for bem-sucedida, a conta de destino é atualizada.</t>
  </si>
  <si>
    <t>Ramo em que o número da conta de origem é menor que o da conta de destino (XFRFUN-006, Descartados). A ordem de atualização por número de conta está em discussão (XFRFUN-006 e 017). Estrutura espelhada na XFRFUN-019 (ordem inversa). Falhas seguem para rollback/ABEND (XFRFUN-009 a 015).</t>
  </si>
  <si>
    <t>XFRFUN-009</t>
  </si>
  <si>
    <t>401-402</t>
  </si>
  <si>
    <t>404-413</t>
  </si>
  <si>
    <t>If the update to the TO account was unsuccessful then we need to flag it and roll it back</t>
  </si>
  <si>
    <t xml:space="preserve">          IF COMM-SUCCESS = 'N'
             IF COMM-FAIL-CODE = '2'
                EXEC CICS SYNCPOINT
                   ROLLBACK
                   RESP(WS-CICS-RESP)
                   RESP2(WS-CICS-RESP2)
                END-EXEC
                IF WS-CICS-RESP IS NOT EQUAL TO DFHRESP(NORMAL)</t>
  </si>
  <si>
    <t>Falha na atualização da conta de destino (COMM-SUCCESS = 'N') com código '2': rollback; se o rollback falhar, ABEND (010 e 011); com outro código, ABEND 'TO' (012). Fluxo de rollback/ABEND, tratado como infraestrutura. O efeito de negócio (transferência não efetivada pela metade) decorre do rollback: decidir se deve virar regra.</t>
  </si>
  <si>
    <t>XFRFUN-010</t>
  </si>
  <si>
    <t>415-418</t>
  </si>
  <si>
    <t>420-422</t>
  </si>
  <si>
    <t xml:space="preserve">                   INITIALIZE ABNDINFO-REC
                   MOVE EIBRESP    TO ABND-RESPCODE
                   MOVE EIBRESP2   TO ABND-RESP2CODE</t>
  </si>
  <si>
    <t>XFRFUN-011</t>
  </si>
  <si>
    <t>424</t>
  </si>
  <si>
    <t>426-481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</si>
  <si>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'UAD010(2) - Error on SYNCPOINT'
                      DELIMITED BY SIZE,
                      ' ROLLBACK' DELIMITED BY SIZE,
                      ' after UPDATING TO account '
                      DELIMITED BY SIZE,
                      ' EIBRESP=' DELIMITED BY SIZE,
                      ABND-RESPCODE DELIMITED BY SIZE,
                      ' RESP2=' DELIMITED BY SIZE,
                      ABND-RESP2CODE DELIMITED BY SIZE
                      INTO ABND-FREEFORM
                   END-STRING
                   EXEC CICS LINK PROGRAM(WS-ABEND-PGM)
                      COMMAREA(ABNDINFO-REC)
                   END-EXEC
                   DISPLAY 'XFRFUN error syncpoint rollback'
                      ' after updating TO account '
                      ',RESP=' WS-CICS-RESP
                      ',RESP2=' WS-CICS-RESP2
                   EXEC CICS ABEND
                      ABCODE('HROL')
                      NODUMP
                      CANCEL
                   END-EXEC
                END-IF
                GO TO UAD999
             ELSE</t>
  </si>
  <si>
    <t>comentário curto; contém GO TO (desvio incondicional)</t>
  </si>
  <si>
    <t>Coleta de informações complementares de ABEND (PERFORM POPULATE-TIME-DATE, LINK ao tratador de ABEND, ABEND); tratamento técnico sem semântica bancária. Termina com GO TO UAD999; o ELSE da linha 481 é o cabeçalho do comentário seguinte.</t>
  </si>
  <si>
    <t>XFRFUN-012</t>
  </si>
  <si>
    <t>483-484</t>
  </si>
  <si>
    <t>486-496</t>
  </si>
  <si>
    <t>If the COMM-FLAG is anything else other than 2 then abend.</t>
  </si>
  <si>
    <t xml:space="preserve">                DISPLAY 'Error updating TO account'
                EXEC CICS ABEND
                   ABCODE('TO  ')
                   NODUMP
                END-EXEC
             END-IF
          END-IF
       ELSE</t>
  </si>
  <si>
    <t>ABEND 'TO' quando o código de falha da conta de destino não é '2'. O comentário cita COMM-FLAG, mas o código testa COMM-FAIL-CODE. Tratamento de ABEND.</t>
  </si>
  <si>
    <t>XFRFUN-013</t>
  </si>
  <si>
    <t>498-499</t>
  </si>
  <si>
    <t>501-507</t>
  </si>
  <si>
    <t>If the update to the FROM account was not successful rollback.</t>
  </si>
  <si>
    <t xml:space="preserve">          IF COMM-FAIL-CODE = '1'
             EXEC CICS SYNCPOINT
                ROLLBACK
                RESP(WS-CICS-RESP)
                RESP2(WS-CICS-RESP2)
             END-EXEC</t>
  </si>
  <si>
    <t>Rollback quando a atualização da conta de origem falha com código '1'. O comentário diz apenas 'not successful', mas o código testa COMM-FAIL-CODE = '1'. Infraestrutura transacional.</t>
  </si>
  <si>
    <t>XFRFUN-014</t>
  </si>
  <si>
    <t>510</t>
  </si>
  <si>
    <t>512-526</t>
  </si>
  <si>
    <t>If the ROLLback failed</t>
  </si>
  <si>
    <t xml:space="preserve">             IF WS-CICS-RESP IS NOT EQUAL TO DFHRESP(NORMAL)
                DISPLAY 'XFRFUN error syncpoint '
                   ' rollback after '
                   'updating FROM account '
                   ',RESP=' WS-CICS-RESP
                   ',RESP2=' WS-CICS-RESP2
                EXEC CICS ABEND
                   ABCODE('HROL')
                   NODUMP
                END-EXEC
             END-IF
             GO TO UAD999
          ELSE</t>
  </si>
  <si>
    <t>Falha do rollback após atualizar a conta de origem: DISPLAY e ABEND 'HROL'; infraestrutura.</t>
  </si>
  <si>
    <t>XFRFUN-015</t>
  </si>
  <si>
    <t>528-531</t>
  </si>
  <si>
    <t>533-535</t>
  </si>
  <si>
    <t>XFRFUN-016</t>
  </si>
  <si>
    <t>537</t>
  </si>
  <si>
    <t>539-589</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</si>
  <si>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'UAD010(3)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
             EXEC CICS ABEND
                ABCODE('FROM')
                NODUMP
                CANCEL
             END-EXEC
          END-IF
       END-IF
    ELSE</t>
  </si>
  <si>
    <t>Coleta de informações complementares de ABEND (PERFORM POPULATE-TIME-DATE, LINK ao tratador de ABEND, ABEND); tratamento técnico sem semântica bancária. O ELSE da linha 589, no fim do trecho, é o cabeçalho da XFRFUN-017.</t>
  </si>
  <si>
    <t>XFRFUN-017</t>
  </si>
  <si>
    <t>591-592</t>
  </si>
  <si>
    <t>589; 594-595</t>
  </si>
  <si>
    <t>The FROM account number is greater than the TO account number</t>
  </si>
  <si>
    <t>[cab.]     ELSE
       MOVE COMM-TACCNO TO DESIRED-ACC-NO
       MOVE COMM-TSCODE TO DESIRED-SORT-CODE</t>
  </si>
  <si>
    <t>decisão no cabeçalho anterior ao comentário (linha 589)</t>
  </si>
  <si>
    <t>Se o número da conta de origem for maior que o número da conta de destino, a conta de destino é a primeira a ser atualizada.</t>
  </si>
  <si>
    <t>[Rascunho] O ELSE da linha 589 vem antes do comentário e aparece como [cab.]. O comentário diz 'maior que', mas o código é um ELSE de 'FROM &lt; TO', que também cobre número de conta igual com sort code diferente (a checagem de contas iguais, linhas 316-317, usa número e sort code): possível divergência comentário x código para o anexo. Mesma dúvida de categoria da XFRFUN-006.</t>
  </si>
  <si>
    <t>XFRFUN-019</t>
  </si>
  <si>
    <t>603-604</t>
  </si>
  <si>
    <t>606-610</t>
  </si>
  <si>
    <t>If the update to the TO account was successful then update the FROM account</t>
  </si>
  <si>
    <t xml:space="preserve">       IF COMM-SUCCESS = 'Y'
          MOVE COMM-FACCNO TO DESIRED-ACC-NO
          MOVE COMM-FSCODE TO DESIRED-SORT-CODE
          PERFORM UPDATE-ACCOUNT-DB2-FROM</t>
  </si>
  <si>
    <t>Se a atualização da conta de destino for bem-sucedida, a conta de origem é atualizada.</t>
  </si>
  <si>
    <t>Ramo em que o número da conta de origem é maior que o da conta de destino (ordem inversa da XFRFUN-008). A ordem de atualização por número de conta está em discussão (XFRFUN-006 e 017)</t>
  </si>
  <si>
    <t>XFRFUN-020</t>
  </si>
  <si>
    <t>613</t>
  </si>
  <si>
    <t>615-617</t>
  </si>
  <si>
    <t>Did the update to the FROM account work?</t>
  </si>
  <si>
    <t xml:space="preserve">          IF COMM-SUCCESS = 'N'
             IF COMM-FAIL-CODE NOT = '1'</t>
  </si>
  <si>
    <t>Se a atualização da conta de origem falhar (COMM-SUCCESS = 'N') com código diferente de '1', ABEND 'FROM'; com código '1', rollback (XFRFUN-023, Descartados). Fluxo de ABEND/rollback.</t>
  </si>
  <si>
    <t>XFRFUN-021</t>
  </si>
  <si>
    <t>619-622</t>
  </si>
  <si>
    <t>624-626</t>
  </si>
  <si>
    <t xml:space="preserve">                INITIALIZE ABNDINFO-REC
                MOVE EIBRESP    TO ABND-RESPCODE
                MOVE EIBRESP2   TO ABND-RESP2CODE</t>
  </si>
  <si>
    <t>XFRFUN-022</t>
  </si>
  <si>
    <t>628</t>
  </si>
  <si>
    <t>630-675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</si>
  <si>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'UAD010(4)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
                EXEC CICS ABEND
                    ABCODE('FROM')
                    NODUMP
                    CANCEL
                END-EXEC
             ELSE</t>
  </si>
  <si>
    <t>Coleta de informações complementares de ABEND (PERFORM POPULATE-TIME-DATE, LINK ao tratador de ABEND, ABEND); tratamento técnico sem semântica bancária. O ELSE da linha 675, no fim do trecho, é o cabeçalho da XFRFUN-023.</t>
  </si>
  <si>
    <t>XFRFUN-023</t>
  </si>
  <si>
    <t>677</t>
  </si>
  <si>
    <t>675; 679-683</t>
  </si>
  <si>
    <t>If the FAIL code is something else</t>
  </si>
  <si>
    <t>[cab.]              ELSE
                EXEC CICS SYNCPOINT
                   ROLLBACK
                   RESP(WS-CICS-RESP)
                   RESP2(WS-CICS-RESP2)
                END-EXEC</t>
  </si>
  <si>
    <t>decisão no cabeçalho anterior ao comentário (linha 675)</t>
  </si>
  <si>
    <t>O ELSE da linha 675 vem antes do comentário e aparece como [cab.]. Rollback da transação (EXEC CICS SYNCPOINT ROLLBACK) quando o código de falha é diferente do tratado no ramo anterior; infraestrutura, no mesmo critério do rollback do DBCRFUN-012 e 013.</t>
  </si>
  <si>
    <t>XFRFUN-024</t>
  </si>
  <si>
    <t>685</t>
  </si>
  <si>
    <t>687</t>
  </si>
  <si>
    <t>If that rollback didn't work</t>
  </si>
  <si>
    <t xml:space="preserve">                IF WS-CICS-RESP IS NOT EQUAL TO DFHRESP(NORMAL)</t>
  </si>
  <si>
    <t>Verificação do RESP do rollback executado após falha na conta de origem; infraestrutura transacional.</t>
  </si>
  <si>
    <t>XFRFUN-025</t>
  </si>
  <si>
    <t>689-692</t>
  </si>
  <si>
    <t>694-696</t>
  </si>
  <si>
    <t>XFRFUN-026</t>
  </si>
  <si>
    <t>698</t>
  </si>
  <si>
    <t>700-760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</si>
  <si>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'UAD010(5) - Error on SYNCPOINT '
                      DELIMITED BY SIZE,
                      ' ROLLBACK ' DELIMITED BY SIZE,
                      ' after UPDATING the FROM account'
                      DELIMITED BY SIZE,
                      ' EIBRESP=' DELIMITED BY SIZE,
                      ABND-RESPCODE DELIMITED BY SIZE,
                      ' RESP2=' DELIMITED BY SIZE,
                      ABND-RESP2CODE DELIMITED BY SIZE
                      INTO ABND-FREEFORM
                   END-STRING
                   EXEC CICS LINK PROGRAM(WS-ABEND-PGM)
                      COMMAREA(ABNDINFO-REC)
                   END-EXEC
                   DISPLAY 'XFRFUN error syncpoint '
                      ' rollback after '
                      'updating FROM account '
                      ',RESP=' WS-CICS-RESP
                      ',RESP2=' WS-CICS-RESP2
                   EXEC CICS ABEND
                       ABCODE('HROL')
                       NODUMP
                       CANCEL
                   END-EXEC
                END-IF
                GO TO UAD999
             END-IF
          END-IF
       ELSE</t>
  </si>
  <si>
    <t>Coleta de informações complementares de ABEND (PERFORM POPULATE-TIME-DATE, LINK ao tratador de ABEND, ABEND); tratamento técnico sem semântica bancária. Termina com GO TO UAD999; o ELSE da linha 760 é o cabeçalho do comentário seguinte.</t>
  </si>
  <si>
    <t>XFRFUN-027</t>
  </si>
  <si>
    <t>763-764</t>
  </si>
  <si>
    <t>766</t>
  </si>
  <si>
    <t>If the update to the TO account was NOT successful &amp; the fail code isn't = '2'</t>
  </si>
  <si>
    <t xml:space="preserve">          IF COMM-FAIL-CODE NOT = '2'</t>
  </si>
  <si>
    <t>Se a atualização da conta de destino falhar com código diferente de '2', ABEND (XFRFUN-028 a 030); fluxo de ABEND.</t>
  </si>
  <si>
    <t>XFRFUN-028</t>
  </si>
  <si>
    <t>768-771</t>
  </si>
  <si>
    <t>773-775</t>
  </si>
  <si>
    <t>XFRFUN-029</t>
  </si>
  <si>
    <t>777</t>
  </si>
  <si>
    <t>779-832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</si>
  <si>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'TO  '      TO ABND-CODE
             EXEC CICS ASSIGN PROGRAM(ABND-PROGRAM)
             END-EXEC
             MOVE ZEROS      TO ABND-SQLCODE
             STRING 'UAD010(6) - Error updating TO account '
                DELIMITED BY SIZE,
                ' EIBRESP=' DELIMITED BY SIZE,
                ABND-RESPCODE DELIMITED BY SIZE,
                ' RESP2=' DELIMITED BY SIZE,
                ABND-RESP2CODE DELIMITED BY SIZE
                INTO ABND-FREEFORM
             END-STRING
             EXEC CICS LINK PROGRAM(WS-ABEND-PGM)
                    COMMAREA(ABNDINFO-REC)
             END-EXEC
             DISPLAY 'Error updating TO account'
             EXEC CICS ABEND
                ABCODE('TO  ')
                CANCEL
                NODUMP
             END-EXEC
          ELSE
             EXEC CICS SYNCPOINT
                ROLLBACK
                RESP(WS-CICS-RESP)
                RESP2(WS-CICS-RESP2)
             END-EXEC
             IF WS-CICS-RESP IS NOT EQUAL TO DFHRESP(NORMAL)</t>
  </si>
  <si>
    <t>Coleta de informações complementares de ABEND (PERFORM POPULATE-TIME-DATE, LINK ao tratador de ABEND, ABEND); tratamento técnico sem semântica bancária. Inclui SYNCPOINT ROLLBACK (linhas 826-827). O IF da linha 832, no fim do trecho, é cabeçalho do comentário seguinte e é ele que dá o tipo 'Decisão e falha'.</t>
  </si>
  <si>
    <t>XFRFUN-030</t>
  </si>
  <si>
    <t>834-837</t>
  </si>
  <si>
    <t>839-841</t>
  </si>
  <si>
    <t>XFRFUN-031</t>
  </si>
  <si>
    <t>843</t>
  </si>
  <si>
    <t>845-904</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</si>
  <si>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'UAD010(7) - Error on SYNCPOINT ROLLBACK'
                   DELIMITED BY SIZE,
                   ' after UPDATING the TO account'
                   DELIMITED BY SIZE,
                   ' EIBRESP=' DELIMITED BY SIZE,
                   ABND-RESPCODE DELIMITED BY SIZE,
                   ' RESP2=' DELIMITED BY SIZE,
                   ABND-RESP2CODE DELIMITED BY SIZE
                   INTO ABND-FREEFORM
                END-STRING
                EXEC CICS LINK PROGRAM(WS-ABEND-PGM)
                      COMMAREA(ABNDINFO-REC)
                END-EXEC
                DISPLAY 'XFRFUN error syncpoint rollback after '
                    'updating TO account '
                    ',RESP=' WS-CICS-RESP
                    ',RESP2=' WS-CICS-RESP2
                EXEC CICS ABEND
                   ABCODE('HROL')
                   NODUMP
                   CANCEL
                END-EXEC
             END-IF
             GO TO UAD999
          END-IF
       END-IF
    END-IF.</t>
  </si>
  <si>
    <t>Coleta de informações complementares de ABEND (PERFORM POPULATE-TIME-DATE, LINK ao tratador de ABEND, ABEND); tratamento técnico sem semântica bancária. Contém GO TO UAD999 (linha 898).</t>
  </si>
  <si>
    <t>XFRFUN-034</t>
  </si>
  <si>
    <t>961-962</t>
  </si>
  <si>
    <t>964-971</t>
  </si>
  <si>
    <t>Check that select was successful. If it wasn't then set the COMMAREA return flags accordingly.</t>
  </si>
  <si>
    <t xml:space="preserve">    IF SQLCODE NOT = 0
       MOVE 'N' TO COMM-SUCCESS
       IF SQLCODE = +100
          MOVE '1' TO COMM-FAIL-CODE
       ELSE
          MOVE '3' TO COMM-FAIL-CODE
       END-IF</t>
  </si>
  <si>
    <t xml:space="preserve">1. Se a conta de origem não for encontrada (SQLCODE igual a +100), a operação é sinalizada como malsucedida com o código de falha '1'.
</t>
  </si>
  <si>
    <t>Mesmo desenho da DBCRFUN-005. O código '1' vira mensagem 'FROM ACCOUNT no was not found' (BNK1TFN-026);  O trecho termina antes do storm drain (XFRFUN-035, Descartados).</t>
  </si>
  <si>
    <t>XFRFUN-037</t>
  </si>
  <si>
    <t>1011-1012</t>
  </si>
  <si>
    <t>1014-1017</t>
  </si>
  <si>
    <t>If the RESP CODE was NOT OK then we need to indicate a failure</t>
  </si>
  <si>
    <t xml:space="preserve">    IF SQLCODE NOT = 0
       MOVE 'N' TO COMM-SUCCESS
       MOVE '3' TO COMM-FAIL-CODE</t>
  </si>
  <si>
    <t>Se a atualização da conta de origem falhar (SQLCODE diferente de zero), a operação é sinalizada como malsucedida com o código de falha '3'.</t>
  </si>
  <si>
    <t>[Rascunho] Falha técnica de DB2 na atualização, tratada em conjunto com o código '3' da XFRFUN-034. O trecho termina antes do storm drain (XFRFUN-038, Descartados).</t>
  </si>
  <si>
    <t>XFRFUN-041</t>
  </si>
  <si>
    <t>1088-1089</t>
  </si>
  <si>
    <t>1091-1092</t>
  </si>
  <si>
    <t>Check that SELECT was successful. If it wasn't then set the return flags accordingly.</t>
  </si>
  <si>
    <t xml:space="preserve">    IF SQLCODE NOT = 0
       MOVE 'N' TO COMM-SUCCESS</t>
  </si>
  <si>
    <t>“Redundante; o caso de negócio está na XFRFUN-043 e o restante é falha técnica, como na DBCRFUN-005”</t>
  </si>
  <si>
    <t>XFRFUN-043</t>
  </si>
  <si>
    <t>1100</t>
  </si>
  <si>
    <t>1102-1116</t>
  </si>
  <si>
    <t>If the TO account was not found</t>
  </si>
  <si>
    <t xml:space="preserve">       IF SQLCODE = +100
          MOVE '2' TO COMM-FAIL-CODE
          MOVE SQLCODE TO SQLCODE-DISPLAY
          DISPLAY 'UPDATE UNABLE TO READ TO ACC'
             HV-ACCOUNT-SORTCODE '/' HV-ACCOUNT-ACC-NO
             ' ROLLBACK TO AVOID DATA INCONSISTENCY.'
             'SQLCODE=' SQLCODE-DISPLAY
          EXEC CICS SYNCPOINT ROLLBACK
            RESP(WS-CICS-RESP)
            RESP2(WS-CICS-RESP2)
          END-EXEC
          IF WS-CICS-RESP IS NOT EQUAL TO DFHRESP(NORMAL)</t>
  </si>
  <si>
    <t>Se a conta de destino não for encontrada (SQLCODE igual a +100), a operação é sinalizada como malsucedida com o código de falha '2'.</t>
  </si>
  <si>
    <t>O trecho inclui DISPLAY e rollback ('to avoid data inconsistency'), tratados como infraestrutura e fora da regra. O código '2' vira a mensagem 'TO ACCOUNT no was not found' (BNK1TFN-026).</t>
  </si>
  <si>
    <t>XFRFUN-044</t>
  </si>
  <si>
    <t>1118-1121</t>
  </si>
  <si>
    <t>1123-1125</t>
  </si>
  <si>
    <t>XFRFUN-045</t>
  </si>
  <si>
    <t>1127</t>
  </si>
  <si>
    <t>1129-1183</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</si>
  <si>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 - Error on SYNCPOINT ROLLBACK '
                  DELIMITED BY SIZE,
                  'after failing to read TO account'
                  DELIMITED BY SIZE,
                  ' EIBRESP=' DELIMITED BY SIZE,
                  ABND-RESPCODE DELIMITED BY SIZE,
                  ' RESP2=' DELIMITED BY SIZE,
                  ABND-RESP2CODE DELIMITED BY SIZE
                  INTO ABND-FREEFORM
             END-STRING
             EXEC CICS LINK PROGRAM(WS-ABEND-PGM)
                      COMMAREA(ABNDINFO-REC)
             END-EXEC
             DISPLAY 'XFRFUN error syncpoint rollback after '
                    'failing to read TO account '
                    ',RESP=' WS-CICS-RESP
                    ',RESP2=' WS-CICS-RESP2
             EXEC CICS ABEND
                ABCODE('HROL')
                NODUMP
                CANCEL
             END-EXEC
          END-IF
          GO TO UADT999
       ELSE</t>
  </si>
  <si>
    <t>Coleta de informações complementares de ABEND (PERFORM POPULATE-TIME-DATE, LINK ao tratador de ABEND, ABEND); tratamento técnico sem semântica bancária. Contém GO TO UADT999 (linha 1181); o ELSE da linha 1183 é o cabeçalho do comentário seguinte.</t>
  </si>
  <si>
    <t>XFRFUN-046</t>
  </si>
  <si>
    <t>1185-1186</t>
  </si>
  <si>
    <t>1188-1211</t>
  </si>
  <si>
    <t>If the failure isn't down to the row NOT being found (it failed for some other reason)</t>
  </si>
  <si>
    <t xml:space="preserve">          MOVE '3' TO COMM-FAIL-CODE
          MOVE SQLCODE TO SQLCODE-DISPLAY
          DISPLAY 'UPDATE UNABLE TO READ TO ACC'
             HV-ACCOUNT-SORTCODE HV-ACCOUNT-ACC-NO
             ' ABENDING TO AVOID DATA INCONSISTENCY. SQLCODE='
             SQLCODE-DISPLAY
             ' SQLERRD(3) IS ' SQLERRD(3)
          IF SQLCODE = -911
             IF SQLERRD(3) = 13172872
                DISPLAY 'DEADLOCK DETECTED!'
                ADD 1 TO DB2-DEADLOCK-RETRY
                IF DB2-DEADLOCK-RETRY &lt; 6
                   EXEC CICS SYNCPOINT
                      ROLLBACK
                      RESP(WS-CICS-RESP)
                      RESP2(WS-CICS-RESP2)
                   END-EXEC
                   IF WS-CICS-RESP IS NOT EQUAL TO
                   DFHRESP(NORMAL)</t>
  </si>
  <si>
    <t>Se a leitura da conta de destino falhar por motivo diferente de conta não encontrada, a operação é sinalizada como malsucedida com o código de falha '3'.</t>
  </si>
  <si>
    <t>[Rascunho] Falha técnica de DB2. O restante do trecho (tratamento de deadlock -911 com nova tentativa, rollback e ABEND) é infraestrutura. Trecho com 24 linhas: conferir o final no fonte.</t>
  </si>
  <si>
    <t>XFRFUN-047</t>
  </si>
  <si>
    <t>1214-1217</t>
  </si>
  <si>
    <t>1219-1221</t>
  </si>
  <si>
    <t>Preserve the RESP and RESP2, then set up the standard ABEND info before getting the applid, date/time etc. and link to the Abend Handler program.</t>
  </si>
  <si>
    <t xml:space="preserve">                      INITIALIZE ABNDINFO-REC
                      MOVE EIBRESP    TO ABND-RESPCODE
                      MOVE EIBRESP2   TO ABND-RESP2CODE</t>
  </si>
  <si>
    <t>XFRFUN-048</t>
  </si>
  <si>
    <t>1223</t>
  </si>
  <si>
    <t>1225-1290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</si>
  <si>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'UAD010-TO(2) - Error on SYNCPOINT'
                         DELIMITED BY SIZE,
                         ' ROLLBACK after updating TO account'
                         DELIMITED BY SIZE,
                         ' EIBRESP=' DELIMITED BY SIZE,
                         ABND-RESPCODE DELIMITED BY SIZE,
                         ' RESP2=' DELIMITED BY SIZE,
                         ABND-RESP2CODE DELIMITED BY SIZE
                         INTO ABND-FREEFORM
                      END-STRING
                      EXEC CICS LINK PROGRAM(WS-ABEND-PGM)
                            COMMAREA(ABNDINFO-REC)
                      END-EXEC
                      DISPLAY 'XFRFUN error syncpoint rollback'
                         ' after updating TO account '
                         ',RESP=' WS-CICS-RESP
                         ',RESP2=' WS-CICS-RESP2
                      EXEC CICS ABEND
                         ABCODE('HROL')
                         NODUMP
                         CANCEL
                      END-EXEC
                   END-IF
                   EXEC CICS DELAY FOR SECONDS(1)
                   END-EXEC
                   GO TO UPDATE-ACCOUNT-DB2
                END-IF
             END-IF
             IF SQLERRD(3) = 13172894
                DISPLAY 'TIMEOUT DETECTED!'
             END-IF</t>
  </si>
  <si>
    <t>Coleta de informações complementares de ABEND (PERFORM POPULATE-TIME-DATE, LINK ao tratador de ABEND, ABEND); tratamento técnico sem semântica bancária. Inclui, após o rollback, ABEND com código 'HROL' se ele falhar, espera de 1 segundo e GO TO UPDATE-ACCOUNT-DB2 (retentativa), além do IF SQLERRD(3) = 13172894 com DISPLAY 'TIMEOUT DETECTED!' (linha 1288): tratamento técnico de deadlock e timeout do DB2.</t>
  </si>
  <si>
    <t>XFRFUN-049</t>
  </si>
  <si>
    <t>1293-1296</t>
  </si>
  <si>
    <t>1298-1300</t>
  </si>
  <si>
    <t>XFRFUN-050</t>
  </si>
  <si>
    <t>1302</t>
  </si>
  <si>
    <t>1304-1350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</si>
  <si>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'RUF2'      TO ABND-CODE
             EXEC CICS ASSIGN PROGRAM(ABND-PROGRAM)
             END-EXEC
             MOVE ZEROS      TO ABND-SQLCODE
             IF SQLERRD(3) = 13172894
                STRING 'UAD010-TO(3) - timeout detected '
                   DELIMITED BY SIZE,
                   ' EIBRESP=' DELIMITED BY SIZE,
                   ABND-RESPCODE DELIMITED BY SIZE,
                   'RESP2=' DELIMITED BY SIZE,
                   ABND-RESP2CODE DELIMITED BY SIZE
                   INTO ABND-FREEFORM
                END-STRING
             END-IF
             EXEC CICS LINK PROGRAM(WS-ABEND-PGM)
                    COMMAREA(ABNDINFO-REC)
             END-EXEC
             EXEC CICS ABEND
                ABCODE('RUF2')
             END-EXEC
       END-IF
    END-IF.</t>
  </si>
  <si>
    <t>Coleta de informações complementares de ABEND (ASSIGN APPLID, data e hora, LINK ao tratador de ABEND); tratamento técnico sem semântica bancária. Inclui IF sobre SQLERRD(3) para mensagem de timeout.</t>
  </si>
  <si>
    <t>XFRFUN-052</t>
  </si>
  <si>
    <t>1382</t>
  </si>
  <si>
    <t>1384-1389</t>
  </si>
  <si>
    <t>If the RESP CODE was NOT OK then we need to abend</t>
  </si>
  <si>
    <t xml:space="preserve">    IF SQLCODE NOT = 0
       MOVE SQLCODE TO SQLCODE-DISPLAY
       DISPLAY 'UNABLE TO UPDATE TO ACCOUNT.'
          HV-ACCOUNT-SORTCODE HV-ACCOUNT-ACC-NO
          'THE SQLCODE=' SQLCODE-DISPLAY
          ' SQLERRD(3) ' SQLERRD(3)</t>
  </si>
  <si>
    <t>Falha na atualização da conta de destino (SQLCODE diferente de zero): exibe diagnóstico e leva a ABEND; tratamento técnico de DB2.</t>
  </si>
  <si>
    <t>XFRFUN-053</t>
  </si>
  <si>
    <t>1392-1393</t>
  </si>
  <si>
    <t>1395-1409</t>
  </si>
  <si>
    <t>Check if SQLCODE indicates that Storm Drain processing is applicable in a workload if activated</t>
  </si>
  <si>
    <t xml:space="preserve">       PERFORM CHECK-FOR-STORM-DRAIN-DB2
       IF SQLCODE = -911
          IF SQLERRD(3) = 13172872
             DISPLAY 'DEADLOCK DETECTED!'
             ADD 1 TO DB2-DEADLOCK-RETRY
             IF DB2-DEADLOCK-RETRY &lt; 6
                EXEC CICS SYNCPOINT
                   ROLLBACK
                   RESP(WS-CICS-RESP)
                   RESP2(WS-CICS-RESP2)
                END-EXEC
                IF WS-CICS-RESP IS NOT EQUAL TO DFHRESP(NORMAL)</t>
  </si>
  <si>
    <t>Detecção de deadlock (SQLCODE -911) com nova tentativa limitada (DB2-DEADLOCK-RETRY &lt; 6) e rollback; verificação de storm drain. Política de reexecução técnica; infraestrutura.</t>
  </si>
  <si>
    <t>XFRFUN-054</t>
  </si>
  <si>
    <t>1412-1415</t>
  </si>
  <si>
    <t>1417-1419</t>
  </si>
  <si>
    <t>XFRFUN-055</t>
  </si>
  <si>
    <t>1421</t>
  </si>
  <si>
    <t>1423-1490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</si>
  <si>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'UAD010-TO(4) - Error on SYNCPOINT '
                      DELIMITED BY SIZE,
                      'ROLLBACK after Updating TO account'
                      DELIMITED BY SIZE,
                      ' EIBRESP=' DELIMITED BY SIZE,
                      ABND-RESPCODE DELIMITED BY SIZE,
                      ' RESP2=' DELIMITED BY SIZE,
                      ABND-RESP2CODE DELIMITED BY SIZE
                      INTO ABND-FREEFORM
                   END-STRING
                   EXEC CICS LINK PROGRAM(WS-ABEND-PGM)
                        COMMAREA(ABNDINFO-REC)
                   END-EXEC
                   DISPLAY 'XFRFUN error syncpoint rollback '
                      ' after updating TO account '
                      ',RESP=' WS-CICS-RESP
                      ',RESP2=' WS-CICS-RESP2
                   EXEC CICS ABEND
                      ABCODE('HROL')
                      NODUMP
                      CANCEL
                   END-EXEC
                END-IF
                EXEC CICS DELAY FOR SECONDS(1)
                END-EXEC
                GO TO UPDATE-ACCOUNT-DB2
             END-IF
          END-IF
          IF SQLERRD(3) = 13172872
             DISPLAY 'TIMEOUT DETECTED!'
          END-IF
       END-IF</t>
  </si>
  <si>
    <t>Coleta de informações complementares de ABEND (PERFORM POPULATE-TIME-DATE, LINK ao tratador de ABEND, ABEND); tratamento técnico sem semântica bancária. Mesmo padrão da XFRFUN-048: retentativa do UPDATE (GO TO UPDATE-ACCOUNT-DB2, linha 1479) e IF SQLERRD(3) = 13172872 (linha 1485); tratamento técnico de deadlock e timeout do DB2.</t>
  </si>
  <si>
    <t>XFRFUN-056</t>
  </si>
  <si>
    <t>1493-1496</t>
  </si>
  <si>
    <t>1498-1500</t>
  </si>
  <si>
    <t>XFRFUN-057</t>
  </si>
  <si>
    <t>1502</t>
  </si>
  <si>
    <t>1504-1549</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</si>
  <si>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'RUF2'      TO ABND-CODE
       EXEC CICS ASSIGN PROGRAM(ABND-PROGRAM)
       END-EXEC
       MOVE ZEROS      TO ABND-SQLCODE
       IF SQLERRD(3) = 13172872
          STRING 'UAD010-TO(5) - timeout detected '
                DELIMITED BY SIZE,
                ' EIBRESP=' DELIMITED BY SIZE,
                ABND-RESPCODE DELIMITED BY SIZE,
                ' RESP2=' DELIMITED BY SIZE,
                ABND-RESP2CODE DELIMITED BY SIZE
                INTO ABND-FREEFORM
          END-STRING
       END-IF
       EXEC CICS LINK PROGRAM(WS-ABEND-PGM)
                    COMMAREA(ABNDINFO-REC)
       END-EXEC
       EXEC CICS
          ABEND ABCODE ('RUF3')
       END-EXEC
    END-IF.</t>
  </si>
  <si>
    <t>XFRFUN-061</t>
  </si>
  <si>
    <t>1644</t>
  </si>
  <si>
    <t>1646-1648</t>
  </si>
  <si>
    <t xml:space="preserve">    IF SQLCODE NOT = 0
       MOVE SQLCODE TO WS-SQLCODE-DISP</t>
  </si>
  <si>
    <t>Falha na gravação em PROCTRAN (SQLCODE diferente de zero): converte SQLCODE para exibição; segue para storm drain e ABEND 'WPCD' (XFRFUN-064). Tratamento técnico.</t>
  </si>
  <si>
    <t>XFRFUN-062</t>
  </si>
  <si>
    <t>1650-1653</t>
  </si>
  <si>
    <t>1655-1657</t>
  </si>
  <si>
    <t>XFRFUN-063</t>
  </si>
  <si>
    <t>1659</t>
  </si>
  <si>
    <t>1661-1708</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</si>
  <si>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'WPCD'      TO ABND-CODE
       EXEC CICS ASSIGN PROGRAM(ABND-PROGRAM)
       END-EXEC
       MOVE WS-SQLCODE-DISP TO ABND-SQLCODE
       STRING 'WTPD010 - Unable to WRITE to PROCTRAN DB2 '
             DELIMITED BY SIZE,
             'datastore. Data='
             DELIMITED BY SIZE,
             HOST-PROCTRAN-ROW
             DELIMITED BY SIZE,
             '.Data inconsistency, data UPDATED on ACCOUNT file'
             DELIMITED BY SIZE,
             ' EIBRESP=' DELIMITED BY SIZE,
             ABND-RESPCODE DELIMITED BY SIZE,
             ' RESP2=' DELIMITED BY SIZE,
             ABND-RESP2CODE DELIMITED BY SIZE
             INTO ABND-FREEFORM
       END-STRING
       EXEC CICS LINK PROGRAM(WS-ABEND-PGM)
                 COMMAREA(ABNDINFO-REC)
       END-EXEC
       DISPLAY 'UNABLE TO WRITE TO PROCTRAN DB2 DATASTORE'
       ' SQLCODE=' SQLCODE
       'WITH THE FOLLOWING DATA:' HOST-PROCTRAN-ROW
       DISPLAY 'DATA INCONSISTENCY, DATA UPDATED ON ACCOUNT'</t>
  </si>
  <si>
    <t>Coleta de informações complementares de ABEND (PERFORM POPULATE-TIME-DATE, LINK ao tratador de ABEND, ABEND); tratamento técnico sem semântica bancária. SQLCODE aparece apenas na mensagem de ABEND.</t>
  </si>
  <si>
    <t>XFRFUN-064</t>
  </si>
  <si>
    <t>1711-1712</t>
  </si>
  <si>
    <t>1714-1738</t>
  </si>
  <si>
    <t xml:space="preserve">       PERFORM CHECK-FOR-STORM-DRAIN-DB2
       EXEC CICS ABEND
          ABCODE('WPCD')
       END-EXEC
    END-IF.
WTPD999.
    EXIT.
GET-ME-OUT-OF-HERE SECTION.
GMOOH010.
    EXEC CICS RETURN
    END-EXEC.
    GOBACK.
GMOOH999.
    EXIT.
CHECK-FOR-STORM-DRAIN-DB2 SECTION.
CFSDD010.</t>
  </si>
  <si>
    <t>Verificação de storm drain e ABEND 'WPCD' após falha na gravação em PROCTRAN. O trecho atravessa seções (WRITE-TO-PROCTRAN-DB2, GET-ME-OUT-OF-HERE, CHECK-FOR-STORM-DRAIN-DB2): efeito de corte do extrator. Infraestrutura.</t>
  </si>
  <si>
    <t>XFRFUN-065</t>
  </si>
  <si>
    <t>1741-1742</t>
  </si>
  <si>
    <t>1744-1770</t>
  </si>
  <si>
    <t>Check if the Sqlcode that is returned one that will trigger Storm Drain is active in Workload</t>
  </si>
  <si>
    <t xml:space="preserve">    EVALUATE SQLCODE
       WHEN 923
          MOVE 'DB2 Connection lost ' TO STORM-DRAIN-CONDITION
       WHEN OTHER
          MOVE 'Not Storm Drain     ' TO STORM-DRAIN-CONDITION
    END-EVALUATE.
    IF STORM-DRAIN-CONDITION NOT EQUAL 'Not Storm Drain     '
       DISPLAY 'XFRFUN: Check-For-Storm-Drain-DB2: Storm '
               'Drain condition (' STORM-DRAIN-CONDITION ') '
               'has been met (' SQLCODE-DISPLAY ').'
    ELSE
       CONTINUE
    END-IF.
CFSDD999.
    EXIT.
ABEND-HANDLING SECTION.
AH010.</t>
  </si>
  <si>
    <t>XFRFUN-067</t>
  </si>
  <si>
    <t>1779-1784</t>
  </si>
  <si>
    <t>1786</t>
  </si>
  <si>
    <t>XFRFUN-068</t>
  </si>
  <si>
    <t>1789</t>
  </si>
  <si>
    <t>1791-1821</t>
  </si>
  <si>
    <t xml:space="preserve">       WHEN 'AD2Z'
          MOVE SQLCODE TO SQLCODE-DISPLAY
          DISPLAY 'DB2 DEADLOCK DETECTED IN XFRFUN, SQLCODE='
             SQLCODE-DISPLAY
          DISPLAY 'DB2 DEADLOCK FOR ACCOUNT '
             HV-ACCOUNT-ACC-NO
          DISPLAY  'SQLSTATE=' SQLSTATE
                 ',SQLERRMC=' SQLERRMC(1:SQLERRML)
                 ',SQLERRD(1)=' SQLERRD(1)
                 ',SQLERRD(2)=' SQLERRD(2)
                 ',SQLERRD(3)=' SQLERRD(3)
                 ',SQLERRD(4)=' SQLERRD(4)
                 ',SQLERRD(5)=' SQLERRD(5)
                 ',SQLERRD(6)=' SQLERRD(6)
       WHEN 'AFCR'
       WHEN 'AFCS'
       WHEN 'AFCT'
          MOVE 'Y' TO WS-STORM-DRAIN
          DISPLAY 'XFRFUN: Check-For-Storm-Drain-VSAM: Storm '
                'Drain condition (Abend ' MY-ABEND-CODE ') '
                'has been met.'
          EXEC CICS SYNCPOINT
             ROLLBACK
             RESP(WS-CICS-RESP)
             RESP2(WS-CICS-RESP2)
          END-EXEC
          IF WS-CICS-RESP NOT = DFHRESP(NORMAL)</t>
  </si>
  <si>
    <t>Tratamento dos ABEND AD2Z (deadlock DB2) e AFCR/AFCS/AFCT (VSAM RLS, storm drain) com rollback; infraestrutura.</t>
  </si>
  <si>
    <t>XFRFUN-069</t>
  </si>
  <si>
    <t>1823-1826</t>
  </si>
  <si>
    <t>1828-1830</t>
  </si>
  <si>
    <t>XFRFUN-070</t>
  </si>
  <si>
    <t>1832</t>
  </si>
  <si>
    <t>1834-1924</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</si>
  <si>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SYNCPOINT '
                DELIMITED BY SIZE,
                'ROLLBACK.' DELIMITED BY SIZE,
                ' Possible integrity issue following VSAM RLS '
                DELIMITED BY SIZE,
                'abend.'
                DELIMITED BY SIZE,
                ' EIBRESP=' DELIMITED BY SIZE,
                ABND-RESPCODE DELIMITED BY SIZE,
                ' RESP2=' DELIMITED BY SIZE,
                ABND-RESP2CODE DELIMITED BY SIZE
                INTO ABND-FREEFORM
             END-STRING
             EXEC CICS LINK PROGRAM(WS-ABEND-PGM)
                    COMMAREA(ABNDINFO-REC)
             END-EXEC
             DISPLAY 'XFRFUN: Unable to perform Syncpoint '
                'Rollback. Possible Integrity issue following '
                ' VSAM RLS abend RESP CODE='
                WS-CICS-RESP ' RESP2 CODE=' WS-CICS-RESP2
             EXEC CICS
                ABEND
                ABCODE ('HROL')
             END-EXEC
          END-IF
          MOVE 'N' TO COMM-SUCCESS
          MOVE '2' TO COMM-FAIL-CODE
          EXEC CICS RETURN
          END-EXEC
    END-EVALUATE.
    IF WS-STORM-DRAIN = 'N'
       EXEC CICS ABEND ABCODE( MY-ABEND-CODE)</t>
  </si>
  <si>
    <t>comentário curto; trecho truncado (exibidas 50 de 68 linhas)</t>
  </si>
  <si>
    <t>Coleta de informações complementares de ABEND (PERFORM POPULATE-TIME-DATE, LINK ao tratador de ABEND, ABEND); tratamento técnico sem semântica bancária. O trecho vai até o fim do programa e termina com IF WS-STORM-DRAIN = 'N' (linha 1897) seguido de ABEND com MY-ABEND-CODE: verificação de storm drain, infraestrutura pelo seu critério.</t>
  </si>
  <si>
    <t>BNK1CRA-001</t>
  </si>
  <si>
    <t>182-183</t>
  </si>
  <si>
    <t>185-189</t>
  </si>
  <si>
    <t>Is it the first time through? If so, send the map with erased (empty) data fields.</t>
  </si>
  <si>
    <t xml:space="preserve">       WHEN EIBCALEN = ZERO
          MOVE LOW-VALUE TO BNK1CDO
          MOVE -1 TO ACCNOL
          SET SEND-ERASE TO TRUE
          PERFORM SEND-MAP</t>
  </si>
  <si>
    <t>WHEN</t>
  </si>
  <si>
    <t>Se for a primeira execução da transação (EIBCALEN igual a zero), a tela é enviada com os campos vazios.</t>
  </si>
  <si>
    <t>[Rascunho] Regra de interface (fluxo de teclas e telas), não de domínio bancário; decidir a categoria com o orientador junto com as demais teclas de função (BNK1CRA-001 a 007 e BNK1TFN-001 a 007).</t>
  </si>
  <si>
    <t>BNK1CRA-002</t>
  </si>
  <si>
    <t>192</t>
  </si>
  <si>
    <t>194-195</t>
  </si>
  <si>
    <t>If a PA key is pressed, just carry on</t>
  </si>
  <si>
    <t xml:space="preserve">       WHEN EIBAID = DFHPA1 OR DFHPA2 OR DFHPA3
          CONTINUE</t>
  </si>
  <si>
    <t>Se uma tecla PA for pressionada (PA1, PA2 ou PA3), nenhuma ação é executada.</t>
  </si>
  <si>
    <t>BNK1CRA-003</t>
  </si>
  <si>
    <t>198</t>
  </si>
  <si>
    <t>200-206</t>
  </si>
  <si>
    <t>When Pf3 is pressed, return to the main menu</t>
  </si>
  <si>
    <t xml:space="preserve">       WHEN EIBAID = DFHPF3
          EXEC CICS RETURN
             TRANSID('OMEN')
             IMMEDIATE
             RESP(WS-CICS-RESP)
             RESP2(WS-CICS-RESP2)
          END-EXEC</t>
  </si>
  <si>
    <t>Se a tecla PF3 for pressionada, o usuário retorna ao menu principal (transação OMEN).</t>
  </si>
  <si>
    <t>BNK1CRA-004</t>
  </si>
  <si>
    <t>209-210</t>
  </si>
  <si>
    <t>212-217</t>
  </si>
  <si>
    <t>If the aid or Pf12 is pressed, then send a termination message.</t>
  </si>
  <si>
    <t xml:space="preserve">       WHEN EIBAID = DFHAID OR DFHPF12
          PERFORM SEND-TERMINATION-MSG
          EXEC CICS
             RETURN
          END-EXEC</t>
  </si>
  <si>
    <t>Se a tecla PF12 for pressionada, é enviada a mensagem de encerramento e a transação termina.</t>
  </si>
  <si>
    <t>[Rascunho] Regra de interface (fluxo de teclas e telas), não de domínio bancário; decidir a categoria com o orientador junto com as demais teclas de função (BNK1CRA-001 a 007 e BNK1TFN-001 a 007). O código testa DFHAID ou DFHPF12; o comentário fala em 'the aid' ou PF12. Conferir o sentido de DFHAID no fonte (linhas 209-217).</t>
  </si>
  <si>
    <t>BNK1CRA-005</t>
  </si>
  <si>
    <t>220</t>
  </si>
  <si>
    <t>222-229</t>
  </si>
  <si>
    <t>When CLEAR is pressed</t>
  </si>
  <si>
    <t xml:space="preserve">       WHEN EIBAID = DFHCLEAR
         EXEC CICS SEND CONTROL
                   ERASE
                   FREEKB
         END-EXEC
         EXEC CICS RETURN
         END-EXEC</t>
  </si>
  <si>
    <t>Se a tecla CLEAR for pressionada, a tela é limpa e a transação termina.</t>
  </si>
  <si>
    <t>BNK1CRA-006</t>
  </si>
  <si>
    <t>232</t>
  </si>
  <si>
    <t>234-235</t>
  </si>
  <si>
    <t>When enter is pressed then process the content</t>
  </si>
  <si>
    <t xml:space="preserve">       WHEN EIBAID = DFHENTER
          PERFORM PROCESS-MAP</t>
  </si>
  <si>
    <t>Se a tecla ENTER for pressionada, os dados informados são processados (PROCESS-MAP).</t>
  </si>
  <si>
    <t>[Rascunho] Regra de interface (fluxo de teclas e telas), não de domínio bancário; decidir a categoria com o orientador junto com as demais teclas de função (BNK1CRA-001 a 007 e BNK1TFN-001 a 007). É o gatilho do processamento de negócio; a regra em si está na BNK1CRA-013.</t>
  </si>
  <si>
    <t>BNK1CRA-007</t>
  </si>
  <si>
    <t>238</t>
  </si>
  <si>
    <t>240-247</t>
  </si>
  <si>
    <t>When anything else happens, send the invalid key message</t>
  </si>
  <si>
    <t xml:space="preserve">       WHEN OTHER
          MOVE LOW-VALUES TO BNK1CDO
          MOVE 'Invalid key pressed.' TO MESSAGEO
          MOVE 8 TO ACCNOL
          SET SEND-DATAONLY-ALARM TO TRUE
          PERFORM SEND-MAP
    END-EVALUATE.</t>
  </si>
  <si>
    <t>Se qualquer outra tecla for pressionada, é exibida a mensagem 'Invalid key pressed.' com alarme sonoro.</t>
  </si>
  <si>
    <t>[Rascunho] Regra de interface (fluxo de teclas e telas), não de domínio bancário; decidir a categoria com o orientador junto com as demais teclas de função (BNK1CRA-001 a 007 e BNK1TFN-001 a 007). O trecho termina em END-EVALUATE.</t>
  </si>
  <si>
    <t>BNK1CRA-008</t>
  </si>
  <si>
    <t>250-253</t>
  </si>
  <si>
    <t>255-271</t>
  </si>
  <si>
    <t>Provided that we have been around this way before (i.e. it is NOT the first time through, put the data returned from the sub program into the area that we use as the COMMAREA on the RETURN.</t>
  </si>
  <si>
    <t xml:space="preserve">    IF EIBCALEN NOT = ZERO
       MOVE COMM-ACCNO  TO WS-COMM-ACCNO
       MOVE COMM-SIGN   TO  WS-COMM-SIGN
       MOVE COMM-AMT    TO WS-COMM-AMT
    END-IF.
    EXEC CICS
       RETURN TRANSID('OCRA')
       COMMAREA(WS-COMM-AREA)
       LENGTH(21)
       RESP(WS-CICS-RESP)
       RESP2(WS-CICS-RESP2)
    END-EXEC.
    IF WS-CICS-RESP NOT = DFHRESP(NORMAL)</t>
  </si>
  <si>
    <t>Retorno pseudo-conversacional (RETURN TRANSID com COMMAREA) e verificação do RESP; controle de transação. A cópia dos dados para a COMMAREA só ocorre quando EIBCALEN é diferente de zero.</t>
  </si>
  <si>
    <t>BNK1CRA-009</t>
  </si>
  <si>
    <t>273-276</t>
  </si>
  <si>
    <t>278-280</t>
  </si>
  <si>
    <t>BNK1CRA-013</t>
  </si>
  <si>
    <t>347-348</t>
  </si>
  <si>
    <t>350-354</t>
  </si>
  <si>
    <t>If the data passes validation go on to apply the debit or credit.</t>
  </si>
  <si>
    <t xml:space="preserve">    IF VALID-DATA
       PERFORM UPD-CRED-DATA
    END-IF.
    SET SEND-DATAONLY-ALARM TO TRUE.</t>
  </si>
  <si>
    <t>Se os dados informados passarem na validação (VALID-DATA), o débito ou crédito é aplicado à conta (UPD-CRED-DATA).</t>
  </si>
  <si>
    <t>O SET SEND-DATAONLY-ALARM executado em seguida é procedural e fica fora da regra.</t>
  </si>
  <si>
    <t>BNK1CRA-015</t>
  </si>
  <si>
    <t>368</t>
  </si>
  <si>
    <t>370-378</t>
  </si>
  <si>
    <t>Retrieve the data</t>
  </si>
  <si>
    <t xml:space="preserve">    EXEC CICS
       RECEIVE MAP('BNK1CD')
       MAPSET('BNK1CDM')
       INTO(BNK1CDI)
       RESP(WS-CICS-RESP)
       RESP2(WS-CICS-RESP2)
    END-EXEC.
    IF WS-CICS-RESP NOT = DFHRESP(NORMAL)</t>
  </si>
  <si>
    <t>Recebimento dos dados da tela (RECEIVE MAP) e verificação do RESP; infraestrutura de interface.</t>
  </si>
  <si>
    <t>BNK1CRA-016</t>
  </si>
  <si>
    <t>380-383</t>
  </si>
  <si>
    <t>385-387</t>
  </si>
  <si>
    <t>BNK1CRA-018</t>
  </si>
  <si>
    <t>444</t>
  </si>
  <si>
    <t>446-469</t>
  </si>
  <si>
    <t>Perform validation on the incoming fields</t>
  </si>
  <si>
    <t xml:space="preserve">    EXEC CICS BIF
       DEEDIT FIELD(ACCNOI)
    END-EXEC.
    IF ACCNOI NOT NUMERIC
       MOVE 'Please enter an account number.  ' TO
          MESSAGEO
       MOVE 'N' TO VALID-DATA-SW
       GO TO ED999
    END-IF.
    IF ACCNOI = ZERO
       MOVE 'Please enter a non zero account number.   ' TO
          MESSAGEO
       MOVE 'N' TO VALID-DATA-SW
       GO TO ED999
    END-IF.
    IF SIGNI NOT = '+' AND SIGNI NOT = '-' AND SIGNL = 1
       MOVE 'Please enter + or - preceding the amount ' TO
          MESSAGEO
       MOVE 'N' TO VALID-DATA-SW
       GO TO ED999
    END-IF.</t>
  </si>
  <si>
    <t>1. Se o número da conta informado não for numérico, a entrada é considerada inválida e é exibida a mensagem 'Please enter an account number.'
2. Se o número da conta informado for zero, a entrada é considerada inválida e é exibida a mensagem 'Please enter a non zero account number.'
3. Se um sinal for informado e não for '+' nem '-', a entrada é considerada inválida e é exibida a mensagem 'Please enter + or - preceding the amount.'</t>
  </si>
  <si>
    <t>Linha vale por três regras. A condição do sinal é SIGNI diferente de '+' e de '-' com SIGNL = 1 (campo de sinal preenchido).</t>
  </si>
  <si>
    <t>BNK1CRA-021</t>
  </si>
  <si>
    <t>492</t>
  </si>
  <si>
    <t>494-498</t>
  </si>
  <si>
    <t>Provide the correct Amount</t>
  </si>
  <si>
    <t xml:space="preserve">    IF SIGNI = '-'
       COMPUTE WS-AMOUNT-AS-FLOAT = WS-AMOUNT-AS-FLOAT * -1
    END-IF.
    MOVE WS-AMOUNT-AS-FLOAT TO SUBPGM-AMT.</t>
  </si>
  <si>
    <t>Se o sinal informado for '-', o valor da operação é convertido para negativo (débito).</t>
  </si>
  <si>
    <t>Sem ELSE: sinal '+' mantém o valor positivo (crédito). O valor convertido segue para o DBCRFUN (SUBPGM-AMT). O BNK1CRA-018 só rejeita o sinal quando ele foi informado (SIGNL = 1), e o 021 só torna o valor negativo quando o sinal é ‘-’. Então sinal em branco também resulta em crédito.</t>
  </si>
  <si>
    <t>BNK1CRA-022</t>
  </si>
  <si>
    <t>501</t>
  </si>
  <si>
    <t>503-519</t>
  </si>
  <si>
    <t>Get the ORIGIN data</t>
  </si>
  <si>
    <t xml:space="preserve">    EXEC CICS INQUIRE ASSOCIATION(EIBTASKN)
        ODAPPLID(SUBPGM-APPLID)
        ODUSERID(SUBPGM-USERID)
        ODFACILNAME(SUBPGM-FACILITY-NAME)
        ODNETWORKID(SUBPGM-NETWRK-ID)
        ODFACILTYPE(SUBPGM-FACILTYPE)
    END-EXEC.
    EXEC CICS LINK
       PROGRAM('DBCRFUN')
       COMMAREA(SUBPGM-PARMS)
       RESP(WS-CICS-RESP)
       RESP2(WS-CICS-RESP2)
       SYNCONRETURN
    END-EXEC.
    IF WS-CICS-RESP NOT = DFHRESP(NORMAL)</t>
  </si>
  <si>
    <t>Obtenção dos dados de origem (INQUIRE ASSOCIATION) e LINK ao DBCRFUN com verificação do RESP. O COMM-FACILTYPE obtido aqui alimenta a regra de pagamento (496) do DBCRFUN-008.</t>
  </si>
  <si>
    <t>BNK1CRA-023</t>
  </si>
  <si>
    <t>521-524</t>
  </si>
  <si>
    <t>526-528</t>
  </si>
  <si>
    <t>BNK1CRA-025</t>
  </si>
  <si>
    <t>579</t>
  </si>
  <si>
    <t>581-626</t>
  </si>
  <si>
    <t>Check to see if the debit or credit was successful</t>
  </si>
  <si>
    <t xml:space="preserve">    IF SUBPGM-SUCCESS = 'N'
       MOVE 'N' TO VALID-DATA-SW
       EVALUATE SUBPGM-FAIL-CODE
          WHEN '1'
             MOVE SPACES TO MESSAGEO
             STRING 'Sorry but the ACCOUNT no was not found'
                    ' for SORTCODE '
                    SUBPGM-SORTC
                    ' . Amount not applied. '
                    DELIMITED BY SIZE
                    INTO MESSAGEO
             GO TO UCD999
          WHEN '2'
             MOVE SPACES TO MESSAGEO
             STRING 'Sorry but the AMOUNT could not be applied'
                    ' due to an unexpected error.'
                    DELIMITED BY SIZE
                    INTO MESSAGEO
             GO TO UCD999
          WHEN '3'
             MOVE SPACES TO MESSAGEO
             STRING 'Sorry insufficient funds available to pro'
                    'cess the request.           '
                    DELIMITED BY SIZE
                    INTO MESSAGEO
             GO TO UCD999
          WHEN OTHER
             MOVE SPACES TO MESSAGEO
             STRING 'Sorry but the AMOUNT could not be applied'
                    ' due to an unexpected error. '
                    SUBPGM-FAIL-CODE
                    DELIMITED BY SIZE
                    INTO MESSAGEO
             GO TO UCD999
       END-EVALUATE
    ELSE
       MOVE SPACES TO MESSAGEO
       MOVE 'Amount successfully applied to the account.' TO
          MESSAGEO
    END-IF.</t>
  </si>
  <si>
    <t>IF, EVALUATE, WHEN</t>
  </si>
  <si>
    <t>1. Se o débito ou crédito não for bem-sucedido e o código de falha for '1', é exibida a mensagem de conta não encontrada e valor não aplicado.
3. Se o débito ou crédito não for bem-sucedido e o código de falha for '3', é exibida a mensagem de saldo insuficiente.
5. Se o débito ou crédito for bem-sucedido, é exibida a mensagem 'Amount successfully applied to the account.'</t>
  </si>
  <si>
    <t xml:space="preserve">Não há WHEN '4': a negação de pagamento em conta MORTGAGE/LOAN (DBCRFUN, código '4') cai em WHEN OTHER e aparece ao usuário como erro inesperado com o código. A regra 5 vem do ELSE, que agora aparece no fim do trecho. Linha vale por cinco regras; </t>
  </si>
  <si>
    <t>BNK1CRA-027</t>
  </si>
  <si>
    <t>646</t>
  </si>
  <si>
    <t>648-657</t>
  </si>
  <si>
    <t>If the map needs to have its data erased</t>
  </si>
  <si>
    <t xml:space="preserve">    IF SEND-ERASE
       EXEC CICS SEND MAP('BNK1CD')
          MAPSET('BNK1CDM')
          FROM(BNK1CDO)
          ERASE
          RESP(WS-CICS-RESP)
          RESP2(WS-CICS-RESP2)
       END-EXEC
       IF WS-CICS-RESP NOT = DFHRESP(NORMAL)</t>
  </si>
  <si>
    <t>Envio da tela com apagamento (SEND MAP ... ERASE) e verificação do RESP; infraestrutura de interface.</t>
  </si>
  <si>
    <t>BNK1CRA-028</t>
  </si>
  <si>
    <t>659-662</t>
  </si>
  <si>
    <t>664-666</t>
  </si>
  <si>
    <t>BNK1CRA-030</t>
  </si>
  <si>
    <t>720</t>
  </si>
  <si>
    <t>722-731</t>
  </si>
  <si>
    <t>If the map just needs a resend of only the data</t>
  </si>
  <si>
    <t xml:space="preserve">    IF SEND-DATAONLY
       EXEC CICS SEND MAP('BNK1CD')
          MAPSET('BNK1CDM')
          FROM(BNK1CDO)
          DATAONLY
          RESP(WS-CICS-RESP)
          RESP2(WS-CICS-RESP2)
       END-EXEC
       IF WS-CICS-RESP NOT = DFHRESP(NORMAL)</t>
  </si>
  <si>
    <t>Reenvio apenas dos dados da tela (SEND MAP ... DATAONLY) e verificação do RESP; infraestrutura de interface.</t>
  </si>
  <si>
    <t>BNK1CRA-031</t>
  </si>
  <si>
    <t>733-736</t>
  </si>
  <si>
    <t>BNK1CRA-033</t>
  </si>
  <si>
    <t>794</t>
  </si>
  <si>
    <t>796-806</t>
  </si>
  <si>
    <t>If we have elected to send the map and a beep</t>
  </si>
  <si>
    <t xml:space="preserve">    IF SEND-DATAONLY-ALARM
       EXEC CICS SEND MAP('BNK1CD')
          MAPSET('BNK1CDM')
          FROM(BNK1CDO)
          DATAONLY
          ALARM
          RESP(WS-CICS-RESP)
          RESP2(WS-CICS-RESP2)
       END-EXEC
       IF WS-CICS-RESP NOT = DFHRESP(NORMAL)</t>
  </si>
  <si>
    <t>Envio da tela com alarme sonoro (SEND MAP ... ALARM) e verificação do RESP; infraestrutura de interface.</t>
  </si>
  <si>
    <t>BNK1CRA-034</t>
  </si>
  <si>
    <t>808-811</t>
  </si>
  <si>
    <t>813-815</t>
  </si>
  <si>
    <t>BNK1CRA-036</t>
  </si>
  <si>
    <t>874</t>
  </si>
  <si>
    <t>876-884</t>
  </si>
  <si>
    <t>Send the termination message</t>
  </si>
  <si>
    <t xml:space="preserve">    EXEC CICS SEND TEXT
       FROM(END-OF-SESSION-MESSAGE)
       ERASE
       FREEKB
       RESP(WS-CICS-RESP)
       RESP2(WS-CICS-RESP2)
    END-EXEC.
    IF WS-CICS-RESP NOT = DFHRESP(NORMAL)</t>
  </si>
  <si>
    <t>Envio da mensagem de encerramento (SEND TEXT) e verificação do RESP; infraestrutura de interface.</t>
  </si>
  <si>
    <t>BNK1CRA-037</t>
  </si>
  <si>
    <t>886-889</t>
  </si>
  <si>
    <t>891-893</t>
  </si>
  <si>
    <t>BNK1CRA-038</t>
  </si>
  <si>
    <t>895</t>
  </si>
  <si>
    <t>897-983</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</si>
  <si>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'EIBRESP=' DELIMITED BY SIZE,
             ABND-RESPCODE DELIMITED BY SIZE,
             ' RESP2=' DELIMITED BY SIZE,
             ABND-RESP2CODE DELIMITED BY SIZE
             INTO ABND-FREEFORM
       END-STRING
       EXEC CICS LINK PROGRAM(WS-ABEND-PGM)
                 COMMAREA(ABNDINFO-REC)
       END-EXEC
       INITIALIZE WS-FAIL-INFO
       MOVE 'BNK1CRA - STM010 - SEND TEXT FAIL'
          TO WS-CICS-FAIL-MSG
       MOVE WS-CICS-RESP  TO WS-CICS-RESP-DISP
       MOVE WS-CICS-RESP2 TO WS-CICS-RESP2-DISP
       PERFORM ABEND-THIS-TASK
    END-IF.
STM999.
    EXIT.
ABEND-THIS-TASK SECTION.
ATT010.
    DISPLAY WS-FAIL-INFO.
    EXEC CICS ABEND
       ABCODE('HBNK')
       NODUMP
    END-EXEC.
ATT999.
    EXIT.
VALIDATE-AMOUNT SECTION.
VA010.
    MOVE 0 TO WS-AMOUNT-AS-FLOAT.</t>
  </si>
  <si>
    <t>comentário curto; trecho truncado (exibidas 50 de 66 linhas); contém GO TO (desvio incondicional)</t>
  </si>
  <si>
    <t>Coleta de informações complementares de ABEND (PERFORM POPULATE-TIME-DATE, LINK ao tratador, PERFORM ABEND-THIS-TASK, ABEND); tratamento técnico sem semântica bancária. Exibidas 50 de 66 linhas: conferir no fonte o final do trecho (até a linha 983), onde está o GO TO apontado no alerta.</t>
  </si>
  <si>
    <t>BNK1CRA-039</t>
  </si>
  <si>
    <t>986</t>
  </si>
  <si>
    <t>988-1035</t>
  </si>
  <si>
    <t>It is entirely spaces</t>
  </si>
  <si>
    <t xml:space="preserve">    IF WS-NUM-COUNT-TOTAL = AMTL
       MOVE 'The Amount entered must be numeric.' TO
          MESSAGEO
       MOVE 'N' TO VALID-DATA-SW
       MOVE -1 TO AMTL
       GO TO VA999
    END-IF.
    COMPUTE WS-AMOUNT-UNSTR-L = AMTL - WS-NUM-COUNT-TOTAL.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INSPECT WS-AMOUNT-UNSTR(1:WS-AMOUNT-UNSTR-L)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WS-NUM-COUNT-TOTAL FOR ALL '.'
       WS-NUM-COUNT-SPACE FOR ALL ' '.</t>
  </si>
  <si>
    <t>Se o campo de valor for composto inteiramente de espaços, a entrada é considerada inválida e é exibida a mensagem 'The Amount entered must be numeric.'</t>
  </si>
  <si>
    <t>[Rascunho] O restante do trecho (UNSTRING, contagem de caracteres) é procedural e já aparece completo.</t>
  </si>
  <si>
    <t>BNK1CRA-040</t>
  </si>
  <si>
    <t>1038-1042</t>
  </si>
  <si>
    <t>1044-1064</t>
  </si>
  <si>
    <t>If there is a decimal point, the field is not numeric. But if it is 1.1 then it is valid. So first of all we check to see that only the above chars are valid. We DO NOT tolerate embedded spaces too</t>
  </si>
  <si>
    <t xml:space="preserve">    IF WS-NUM-COUNT-SPACE &gt; 0
       MOVE SPACES TO MESSAGEO
       STRING
          'Please supply a numeric amount without embedded'
           DELIMITED BY SIZE,
           ' spaces.' DELIMITED BY SPACES
       INTO MESSAGEO
       MOVE 'N' TO VALID-DATA-SW
       MOVE -1 TO AMTL
       GO TO VA999
    END-IF.
    IF WS-NUM-COUNT-TOTAL &lt; WS-AMOUNT-UNSTR-L
       MOVE SPACES TO MESSAGEO
       STRING 'Please supply a numeric amount.'
          DELIMITED BY SIZE,
          INTO MESSAGEO
       MOVE 'N' TO VALID-DATA-SW
       MOVE -1 TO AMTL
       GO TO VA999
    END-IF.</t>
  </si>
  <si>
    <t>1. Se o valor informado contiver espaços embutidos, a entrada é considerada inválida e é exibida a mensagem 'Please supply a numeric amount without embedded'
2. Se o valor informado contiver caracteres diferentes de dígitos e ponto decimal, a entrada é considerada inválida e é exibida a mensagem 'Please supply a numeric amount.'</t>
  </si>
  <si>
    <t>Linha vale por duas regras. Os caracteres aceitos (dígitos 0 a 9 e '.') são os contados no INSPECT que antecede o trecho. O segundo literal é perdido por DELIMITED BY SPACES; a mensagem exibida termina em ‘embedded’”</t>
  </si>
  <si>
    <t>BNK1CRA-041</t>
  </si>
  <si>
    <t>1067</t>
  </si>
  <si>
    <t>1069-1083</t>
  </si>
  <si>
    <t>Check that we have no or just one decimal point</t>
  </si>
  <si>
    <t xml:space="preserve">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t>
  </si>
  <si>
    <t>Se o valor informado contiver mais de um ponto decimal, a entrada é considerada inválida e é exibida a mensagem 'Use one decimal point for amount only.'</t>
  </si>
  <si>
    <t>BNK1CRA-042</t>
  </si>
  <si>
    <t>1086</t>
  </si>
  <si>
    <t>1088-1114</t>
  </si>
  <si>
    <t>Have we got too many decimals?</t>
  </si>
  <si>
    <t xml:space="preserve">    IF WS-NUM-COUNT-POINT = 1
       MOVE ZERO TO WS-NUM-COUNT-TOTAL
       INSPECT WS-AMOUNT-UNSTR(1:WS-AMOUNT-UNSTR-L)
          TALLYING WS-NUM-COUNT-TOTAL FOR CHARACTERS AFTER '.'
       IF WS-NUM-COUNT-TOTAL &gt; 2
          MOVE ZERO TO WS-NUM-COUNT-TOTAL WS-NUM-COUNT-POINT
          INSPECT WS-AMOUNT-UNSTR(1:WS-AMOUNT-UNSTR-L)
          TALLYING
             WS-NUM-COUNT-POINT FOR CHARACTERS BEFORE '.'
          ADD 2 TO WS-NUM-COUNT-POINT GIVING WS-NUM-COUNT-POINT
          INSPECT
          WS-AMOUNT-UNSTR(WS-NUM-COUNT-POINT:WS-AMOUNT-UNSTR-L)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AFTER '.'
          IF WS-NUM-COUNT-TOTAL &gt; 2</t>
  </si>
  <si>
    <t>Se o valor informado tiver mais de duas casas decimais, a entrada é considerada inválida e é exibida a mensagem 'Only up to two decimal places are supported.'</t>
  </si>
  <si>
    <t>A condição está nesta linha (dois IF aninhados); a mensagem e a consequência estão na BNK1CRA-043. Trecho de código extenso e repetitivo (INSPECT com contagem por dígito).</t>
  </si>
  <si>
    <t>BNK1CRA-043</t>
  </si>
  <si>
    <t>1116</t>
  </si>
  <si>
    <t>1118-1166</t>
  </si>
  <si>
    <t>There are two numerics</t>
  </si>
  <si>
    <t xml:space="preserve">             MOVE SPACES TO MESSAGEO
             STRING
                'Only up to two decimal places are supported.'
                DELIMITED BY SIZE,
             INTO MESSAGEO
             MOVE 'N' TO VALID-DATA-SW
             MOVE -1 TO AMTL
             GO TO VA999
          END-IF
       END-IF
    END-IF.
    COMPUTE WS-AMOUNT-AS-FLOAT =
       FUNCTION NUMVAL(WS-AMOUNT-UNSTR(1:WS-AMOUNT-UNSTR-L)).
    IF WS-AMOUNT-AS-FLOAT = ZERO
       MOVE SPACES TO MESSAGEO
       STRING
          'Please supply a non-zero amount.'
          DELIMITED BY SIZE,
       INTO MESSAGEO
       MOVE 'N' TO VALID-DATA-SW
       MOVE -1 TO AMTL
       GO TO VA999
    END-IF.
    MOVE SPACES TO MESSAGEO.
    MOVE 'Y' TO VALID-DATA-SW.
VA999.
    EXIT.
POPULATE-TIME-DATE SECTION.
PTD010.
    EXEC CICS ASKTIME
       ABSTIME(WS-U-TIME)
    END-EXEC.
    EXEC CICS FORMATTIME
              ABSTIME(WS-U-TIME)
              DDMMYYYY(WS-ORIG-DATE)
              TIME(WS-TIME-NOW)
              DATESEP
    END-EXEC.
PTD999.
    EXIT.</t>
  </si>
  <si>
    <t>Se o valor numérico informado for igual a zero, a entrada é considerada inválida e é exibida a mensagem 'Please supply a non-zero amount.'</t>
  </si>
  <si>
    <t>As linhas iniciais (1118-1130) são a consequência da regra da BNK1CRA-042. O trecho também define a entrada como válida (VALID-DATA-SW = 'Y') quando todas as validações passam. O comentário 'There are two numerics' não descreve o que o código faz. O trecho avança até a SECTION POPULATE-TIME-DATE (linhas finais): o par vai até o próximo comentário, mesmo cruzando o limite de uma SECTION; essas linhas finais não fazem parte da regra.</t>
  </si>
  <si>
    <t>BNK1TFN-001</t>
  </si>
  <si>
    <t>180-181</t>
  </si>
  <si>
    <t>183-186</t>
  </si>
  <si>
    <t xml:space="preserve">       WHEN EIBCALEN = ZERO
          MOVE LOW-VALUE TO BNK1TFO
          SET SEND-ERASE TO TRUE
          PERFORM SEND-MAP</t>
  </si>
  <si>
    <t>BNK1TFN-002</t>
  </si>
  <si>
    <t>189</t>
  </si>
  <si>
    <t>191-192</t>
  </si>
  <si>
    <t>BNK1TFN-003</t>
  </si>
  <si>
    <t>195</t>
  </si>
  <si>
    <t>197-203</t>
  </si>
  <si>
    <t>BNK1TFN-004</t>
  </si>
  <si>
    <t>206-207</t>
  </si>
  <si>
    <t>209-213</t>
  </si>
  <si>
    <t>[Rascunho] Regra de interface (fluxo de teclas e telas), não de domínio bancário; decidir a categoria com o orientador junto com as demais teclas de função (BNK1CRA-001 a 007 e BNK1TFN-001 a 007). O código testa DFHAID ou DFHPF12; o comentário fala em 'the aid' ou PF12. Conferir o sentido de DFHAID no fonte (linhas 206-213).</t>
  </si>
  <si>
    <t>BNK1TFN-005</t>
  </si>
  <si>
    <t>216</t>
  </si>
  <si>
    <t>218-224</t>
  </si>
  <si>
    <t>BNK1TFN-006</t>
  </si>
  <si>
    <t>227</t>
  </si>
  <si>
    <t>229-230</t>
  </si>
  <si>
    <t>[Rascunho] Regra de interface (fluxo de teclas e telas), não de domínio bancário; decidir a categoria com o orientador junto com as demais teclas de função (BNK1CRA-001 a 007 e BNK1TFN-001 a 007). É o gatilho do processamento de negócio; a regra em si está na BNK1TFN-014.</t>
  </si>
  <si>
    <t>BNK1TFN-007</t>
  </si>
  <si>
    <t>233</t>
  </si>
  <si>
    <t>235-237</t>
  </si>
  <si>
    <t xml:space="preserve">       WHEN OTHER
          MOVE LOW-VALUES TO BNK1TFO
          MOVE 'Invalid key pressed.' TO MESSAGEO</t>
  </si>
  <si>
    <t>[Rascunho] Regra de interface (fluxo de teclas e telas), não de domínio bancário; decidir a categoria com o orientador junto com as demais teclas de função (BNK1CRA-001 a 007 e BNK1TFN-001 a 007). Código parcial: o extrator cortou antes do restante (SET SEND-DATAONLY-ALARM, PERFORM SEND-MAP e END-EVALUATE), registrado na BNK1TFN-008 (Descartados) como possível código desativado.</t>
  </si>
  <si>
    <t>BNK1TFN-009</t>
  </si>
  <si>
    <t>245</t>
  </si>
  <si>
    <t>247-255</t>
  </si>
  <si>
    <t>Now RETURN</t>
  </si>
  <si>
    <t xml:space="preserve">     EXEC CICS
        RETURN TRANSID('OTFN')
        COMMAREA(WS-COMMAREA)
        LENGTH(29)
        RESP(WS-CICS-RESP)
        RESP2(WS-CICS-RESP2)
     END-EXEC.
    IF WS-CICS-RESP NOT = DFHRESP(NORMAL)</t>
  </si>
  <si>
    <t>Retorno pseudo-conversacional (RETURN TRANSID com COMMAREA) e verificação do RESP; controle de transação.</t>
  </si>
  <si>
    <t>BNK1TFN-010</t>
  </si>
  <si>
    <t>257-260</t>
  </si>
  <si>
    <t>262-264</t>
  </si>
  <si>
    <t>BNK1TFN-014</t>
  </si>
  <si>
    <t>333-334</t>
  </si>
  <si>
    <t>336-340</t>
  </si>
  <si>
    <t>If the data passes validation go on to get an account</t>
  </si>
  <si>
    <t xml:space="preserve">    IF VALID-DATA
       PERFORM GET-ACC-DATA
    END-IF.
    SET SEND-DATAONLY-ALARM TO TRUE.</t>
  </si>
  <si>
    <t>Se os dados informados passarem na validação (VALID-DATA), a transferência é solicitada ao programa XFRFUN (GET-ACC-DATA).</t>
  </si>
  <si>
    <t>[Rascunho] O SET SEND-DATAONLY-ALARM executado em seguida é procedural e fica fora da regra.</t>
  </si>
  <si>
    <t>BNK1TFN-016</t>
  </si>
  <si>
    <t>354</t>
  </si>
  <si>
    <t>356-364</t>
  </si>
  <si>
    <t xml:space="preserve">    EXEC CICS
       RECEIVE MAP('BNK1TF')
       MAPSET('BNK1TFM')
       INTO(BNK1TFI)
       RESP(WS-CICS-RESP)
       RESP2(WS-CICS-RESP2)
    END-EXEC.
    IF WS-CICS-RESP NOT = DFHRESP(NORMAL)</t>
  </si>
  <si>
    <t>BNK1TFN-017</t>
  </si>
  <si>
    <t>366-369</t>
  </si>
  <si>
    <t>371-373</t>
  </si>
  <si>
    <t>BNK1TFN-019</t>
  </si>
  <si>
    <t>431</t>
  </si>
  <si>
    <t>433-467</t>
  </si>
  <si>
    <t xml:space="preserve">    EXEC CICS BIF DEEDIT
       FIELD(FACCNOI)
    END-EXEC.
    IF FACCNOI NOT NUMERIC
       MOVE 'Please enter a FROM account no  ' TO
          MESSAGEO
       MOVE 'N' TO VALID-DATA-SW
       GO TO ED999
    END-IF.
    EXEC CICS BIF DEEDIT
       FIELD(TACCNOI)
    END-EXEC.
    IF TACCNOI NOT NUMERIC
       MOVE 'Please enter a TO account no    ' TO
          MESSAGEO
       MOVE 'N' TO VALID-DATA-SW
       GO TO ED999
    END-IF.
    IF FACCNOI = TACCNOI
       MOVE 'The FROM &amp; TO account should be different ' TO
          MESSAGEO
       MOVE 'N' TO VALID-DATA-SW
       GO TO ED999
    END-IF.
    IF FACCNOI = '00000000' OR TACCNOI = '00000000'
       MOVE 'Account no 00000000 is not valid          ' TO
          MESSAGEO
       MOVE 'N' TO VALID-DATA-SW
       GO TO ED999
    END-IF.</t>
  </si>
  <si>
    <t>1. Se o número da conta de origem informado não for numérico, a entrada é considerada inválida e é exibida a mensagem 'Please enter a FROM account no'.
2. Se o número da conta de destino informado não for numérico, a entrada é considerada inválida e é exibida a mensagem 'Please enter a TO account no'.
3. Se as contas de origem e de destino informadas forem iguais, a entrada é considerada inválida e é exibida a mensagem 'The FROM &amp; TO account should be different'.
4. Se a conta de origem ou a de destino for 00000000, a entrada é considerada inválida e é exibida a mensagem 'Account no 00000000 is not valid'.</t>
  </si>
  <si>
    <t>Linha vale por quatro regras. A restrição de contas iguais também existe no XFRFUN-003 (ABEND 'SAME'): a tela barra antes de chegar ao programa de negócio.</t>
  </si>
  <si>
    <t>BNK1TFN-022</t>
  </si>
  <si>
    <t>494-504</t>
  </si>
  <si>
    <t xml:space="preserve">    MOVE WS-AMOUNT-AS-FLOAT TO SUBPGM-AMT.
    EXEC CICS LINK
       PROGRAM('XFRFUN')
       COMMAREA(SUBPGM-PARMS)
       RESP(WS-CICS-RESP)
       RESP2(WS-CICS-RESP2)
       SYNCONRETURN
    END-EXEC.
    IF WS-CICS-RESP NOT = DFHRESP(NORMAL)</t>
  </si>
  <si>
    <t>Chamada ao XFRFUN (LINK) com verificação do RESP. O comentário ('Provide the correct Amount') não corresponde ao conteúdo principal do trecho.</t>
  </si>
  <si>
    <t>BNK1TFN-023</t>
  </si>
  <si>
    <t>506-509</t>
  </si>
  <si>
    <t>511-513</t>
  </si>
  <si>
    <t>BNK1TFN-026</t>
  </si>
  <si>
    <t>580-581</t>
  </si>
  <si>
    <t>582-640</t>
  </si>
  <si>
    <t>If an error was flagged by XFRFUN then set up an appropriate error message.</t>
  </si>
  <si>
    <t xml:space="preserve">    IF SUBPGM-SUCCESS = 'N'
       MOVE 'N' TO VALID-DATA-SW
       EVALUATE SUBPGM-FAIL-CODE
          WHEN '1'
             MOVE SPACES TO MESSAGEO
             STRING 'Sorry the FROM ACCOUNT no was not found'
                    '. Transfer not applied. '
                    DELIMITED BY SIZE
                    INTO MESSAGEO
             GO TO GCD999
          WHEN '2'
             MOVE SPACES TO MESSAGEO
             STRING 'Sorry the TO ACCOUNT no was not found'
                    '. Transfer not applied. '
                    DELIMITED BY SIZE
                    INTO MESSAGEO
             GO TO GCD999
          WHEN '3'
             MOVE SPACES TO MESSAGEO
             STRING 'Sorry but the transfer could not be applied'
                    ' due to an unexpected error.'
                    DELIMITED BY SIZE
                    INTO MESSAGEO
          WHEN '4'
             MOVE SPACES TO MESSAGEO
             STRING 'Please supply an amount greater than zero.'
                    DELIMITED BY SIZE
                    INTO MESSAGEO
             GO TO GCD999
          WHEN OTHER
             MOVE SPACES TO MESSAGEO
             STRING 'Sorry but the transfer could not be applied'
                    ' due to an error.'
                    DELIMITED BY SIZE
                    INTO MESSAGEO
             GO TO GCD999
       END-EVALUATE
    END-IF.
    IF SUBPGM-SUCCESS NOT = 'Y'
       MOVE SPACES TO MESSAGEO
       STRING 'Sorry but the transfer could not be applied'
              ' unable to determine success.'
              DELIMITED BY SIZE
              INTO MESSAGEO
       GO TO GCD999
    ELSE
       MOVE SPACES TO MESSAGEO
       MOVE 'Transfer successfully applied.             ' TO
          MESSAGEO
    END-IF.</t>
  </si>
  <si>
    <t>1. Se a transferência não for bem-sucedida e o código de falha for '1', é exibida a mensagem de conta de origem não encontrada e transferência não aplicada.
2. Se a transferência não for bem-sucedida e o código de falha for '2', é exibida a mensagem de conta de destino não encontrada e transferência não aplicada.
4. Se a transferência não for bem-sucedida e o código de falha for '4', é exibida a mensagem 'Please supply an amount greater than zero.'
7. Se o indicador de sucesso da transferência for 'Y', é exibida a mensagem 'Transfer successfully applied.'</t>
  </si>
  <si>
    <t>Linha vale por sete regras; avaliar se divide em entradas. O WHEN '3' não tem GO TO GCD999 (as demais têm): o fluxo segue após o END-EVALUATE. As regras 6 e 7 vêm do segundo IF (SUBPGM-SUCCESS NOT = 'Y'), agora exibido no fim do trecho. Como o WHEN '3' não tem GO TO e SUBPGM-SUCCESS segue 'N', o fluxo chega a esse segundo IF e a mensagem final seria 'unable to determine success', e não o erro inesperado da regra 3.</t>
  </si>
  <si>
    <t>BNK1TFN-028</t>
  </si>
  <si>
    <t>665-669</t>
  </si>
  <si>
    <t>671-680</t>
  </si>
  <si>
    <t>Send/show the MAP If the map needs to have its data erased</t>
  </si>
  <si>
    <t xml:space="preserve">    IF SEND-ERASE
       EXEC CICS SEND MAP('BNK1TF')
          MAPSET('BNK1TFM')
          FROM(BNK1TFO)
          ERASE
          RESP(WS-CICS-RESP)
          RESP2(WS-CICS-RESP2)
       END-EXEC
       IF WS-CICS-RESP NOT = DFHRESP(NORMAL)</t>
  </si>
  <si>
    <t>BNK1TFN-029</t>
  </si>
  <si>
    <t>682-685</t>
  </si>
  <si>
    <t>687-689</t>
  </si>
  <si>
    <t>BNK1TFN-031</t>
  </si>
  <si>
    <t>743</t>
  </si>
  <si>
    <t>745-754</t>
  </si>
  <si>
    <t xml:space="preserve">    IF SEND-DATAONLY
       EXEC CICS SEND MAP('BNK1TF')
          MAPSET('BNK1TFM')
          FROM(BNK1TFO)
          DATAONLY
          RESP(WS-CICS-RESP)
          RESP2(WS-CICS-RESP2)
       END-EXEC
       IF WS-CICS-RESP NOT = DFHRESP(NORMAL)</t>
  </si>
  <si>
    <t>BNK1TFN-032</t>
  </si>
  <si>
    <t>756-759</t>
  </si>
  <si>
    <t>761-763</t>
  </si>
  <si>
    <t>BNK1TFN-034</t>
  </si>
  <si>
    <t>817</t>
  </si>
  <si>
    <t>819-829</t>
  </si>
  <si>
    <t xml:space="preserve">    IF SEND-DATAONLY-ALARM
       EXEC CICS SEND MAP('BNK1TF')
          MAPSET('BNK1TFM')
          FROM(BNK1TFO)
          DATAONLY
          ALARM
          RESP(WS-CICS-RESP)
          RESP2(WS-CICS-RESP2)
       END-EXEC
       IF WS-CICS-RESP NOT = DFHRESP(NORMAL)</t>
  </si>
  <si>
    <t>BNK1TFN-035</t>
  </si>
  <si>
    <t>831-834</t>
  </si>
  <si>
    <t>836-838</t>
  </si>
  <si>
    <t>BNK1TFN-037</t>
  </si>
  <si>
    <t>897</t>
  </si>
  <si>
    <t>899-907</t>
  </si>
  <si>
    <t>BNK1TFN-038</t>
  </si>
  <si>
    <t>909-912</t>
  </si>
  <si>
    <t>914-916</t>
  </si>
  <si>
    <t>BNK1TFN-040</t>
  </si>
  <si>
    <t>973</t>
  </si>
  <si>
    <t>975-986</t>
  </si>
  <si>
    <t>Issue an abend</t>
  </si>
  <si>
    <t xml:space="preserve">    DISPLAY WS-FAIL-INFO.
    EXEC CICS ABEND
       ABCODE('HBNK')
       NODUMP
    END-EXEC.
ATT999.
    EXIT.
VALIDATE-AMOUNT SECTION.
VA010.</t>
  </si>
  <si>
    <t>Exibição de WS-FAIL-INFO e ABEND 'HBNK'; tratamento técnico de falha.</t>
  </si>
  <si>
    <t>BNK1TFN-041</t>
  </si>
  <si>
    <t>988-989</t>
  </si>
  <si>
    <t>991-999</t>
  </si>
  <si>
    <t>Validate the amount entered. Is it greater than 0?</t>
  </si>
  <si>
    <t xml:space="preserve">    IF AMTL = ZERO
       MOVE 'The Amount entered must be numeric.' TO
          MESSAGEO
       MOVE 'N' TO VALID-DATA-SW
       MOVE -1 TO AMTL
       GO TO VA999
    END-IF
    IF AMTI(1:AMTL) IS NUMERIC</t>
  </si>
  <si>
    <t>Se o campo de valor estiver vazio (comprimento zero), a entrada é considerada inválida e é exibida a mensagem 'The Amount entered must be numeric.'</t>
  </si>
  <si>
    <t>O comentário pergunta 'Is it greater than 0?', mas o teste é de comprimento do campo (AMTL = ZERO). O trecho abre o IF AMTI IS NUMERIC, cuja consequência está na BNK1TFN-042.</t>
  </si>
  <si>
    <t>BNK1TFN-042</t>
  </si>
  <si>
    <t>1001</t>
  </si>
  <si>
    <t>1003-1021</t>
  </si>
  <si>
    <t>Is it a positive amount?</t>
  </si>
  <si>
    <t xml:space="preserve">       COMPUTE WS-AMOUNT-AS-FLOAT =
          FUNCTION NUMVAL(AMTI(1:AMTL))
       IF WS-AMOUNT-AS-FLOAT &lt;= 0
          MOVE SPACES TO MESSAGEO
          STRING 'Please supply a positive amount.'
             DELIMITED BY SIZE,
          INTO MESSAGEO
          MOVE 'N' TO VALID-DATA-SW
          MOVE -1 TO AMTL
          GO TO VA999
       END-IF
       MOVE 'Y' TO VALID-DATA-SW
       GO TO VA999
    END-IF.
    MOVE ZERO TO WS-NUM-COUNT-TOTAL.
    INSPECT AMTI(1:AMTL) TALLYING WS-NUM-COUNT-TOTAL
       FOR LEADING SPACES.</t>
  </si>
  <si>
    <t xml:space="preserve">1. Se o valor informado for numérico e menor ou igual a zero, a entrada é considerada inválida e é exibida a mensagem 'Please supply a positive amount.'
</t>
  </si>
  <si>
    <t>Aplica-se só a valores inteiros (IS NUMERIC); valores com ponto decimal seguem o fluxo das linhas 043 a 048. Se o valor for numérico e maior que zero, a entrada é válida</t>
  </si>
  <si>
    <t>BNK1TFN-043</t>
  </si>
  <si>
    <t>1024</t>
  </si>
  <si>
    <t>1026-1077</t>
  </si>
  <si>
    <t>Check if it is numeric</t>
  </si>
  <si>
    <t xml:space="preserve">    IF WS-NUM-COUNT-TOTAL = AMTL
       MOVE 'The Amount entered must be numeric.' TO
          MESSAGEO
       MOVE 'N' TO VALID-DATA-SW
       MOVE -1 TO AMTL
       GO TO VA999
    END-IF.
    COMPUTE WS-AMOUNT-UNSTR-L = AMTL - WS-NUM-COUNT-TOTAL.
[D]     DISPLAY 'There are ' ws-num-count-total ' leading spaces'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WS-NUM-COUNT-MINUS.
    INSPECT WS-AMOUNT-UNSTR(1:WS-AMOUNT-UNSTR-L)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WS-NUM-COUNT-TOTAL FOR ALL '.'
       WS-NUM-COUNT-SPACE FOR ALL ' '
       WS-NUM-COUNT-MINUS FOR ALL '-'.</t>
  </si>
  <si>
    <t>O restante do trecho (UNSTRING, contagem de caracteres) é procedural e já aparece completo; linha [D] ignorada (depuração).</t>
  </si>
  <si>
    <t>BNK1TFN-044</t>
  </si>
  <si>
    <t>1080-1081</t>
  </si>
  <si>
    <t>1083-1091</t>
  </si>
  <si>
    <t>We no longer support transferring negative amounts. Any - sign is a deal breaker!</t>
  </si>
  <si>
    <t xml:space="preserve">    IF WS-NUM-COUNT-MINUS &gt; 0
       MOVE SPACES TO MESSAGEO
       STRING 'Please supply a positive amount.'
          DELIMITED BY SIZE,
          INTO MESSAGEO
       MOVE 'N' TO VALID-DATA-SW
       MOVE -1 TO AMTL
       GO TO VA999
    END-IF.</t>
  </si>
  <si>
    <t>Se o valor informado contiver sinal de menos, a entrada é considerada inválida e é exibida a mensagem 'Please supply a positive amount.'</t>
  </si>
  <si>
    <t>Diferente do BNK1CRA, que aceita sinal '-' e trata como débito: a transferência não admite valor negativo.</t>
  </si>
  <si>
    <t>BNK1TFN-045</t>
  </si>
  <si>
    <t>1094-1098</t>
  </si>
  <si>
    <t>1100-1120</t>
  </si>
  <si>
    <t>The idea here is that if there is a decimal point, the field is not numeric. But if it is 1.1 then it is valid. So first of all we check to see that only the above chars are OK. We DO NOT tolerate embedded spaces too.</t>
  </si>
  <si>
    <t xml:space="preserve">    IF WS-NUM-COUNT-SPACE &gt; 0
       MOVE SPACES TO MESSAGEO
       STRING
          'Please supply a numeric amount without embedded'
          DELIMITED BY SIZE,
          '  spaces.' DELIMITED BY SIZE
        INTO MESSAGEO
        MOVE 'N' TO VALID-DATA-SW
        MOVE -1 TO AMTL
        GO TO VA999
    END-IF.
    IF WS-NUM-COUNT-TOTAL &lt; WS-AMOUNT-UNSTR-L
       MOVE SPACES TO MESSAGEO
       STRING 'Please supply a numeric amount.'
          DELIMITED BY SIZE,
          INTO MESSAGEO
       MOVE 'N' TO VALID-DATA-SW
       MOVE -1 TO AMTL
       GO TO VA999
    END-IF.</t>
  </si>
  <si>
    <t>1. Se o valor informado contiver espaços embutidos, a entrada é considerada inválida e é exibida a mensagem 'Please supply a numeric amount without embedded spaces.'
2. Se o valor informado contiver caracteres diferentes de dígitos e ponto decimal, a entrada é considerada inválida e é exibida a mensagem 'Please supply a numeric amount.'</t>
  </si>
  <si>
    <t>Diferente da BNK1CRA-040: aqui a mensagem é exibida completa.</t>
  </si>
  <si>
    <t>BNK1TFN-046</t>
  </si>
  <si>
    <t>1123</t>
  </si>
  <si>
    <t>1125-1138</t>
  </si>
  <si>
    <t>Check to make sure we only have 0 to 1 decimal points</t>
  </si>
  <si>
    <t xml:space="preserve">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t>
  </si>
  <si>
    <t>Equivalente à BNK1CRA-041.</t>
  </si>
  <si>
    <t>BNK1TFN-047</t>
  </si>
  <si>
    <t>1140</t>
  </si>
  <si>
    <t>1142-1171</t>
  </si>
  <si>
    <t>Check to see if we have too many decimals!</t>
  </si>
  <si>
    <t xml:space="preserve">    IF WS-NUM-COUNT-POINT = 1
       MOVE ZERO TO WS-NUM-COUNT-TOTAL
       INSPECT WS-AMOUNT-UNSTR(1:WS-AMOUNT-UNSTR-L)
          TALLYING
          WS-NUM-COUNT-TOTAL FOR CHARACTERS AFTER '.'
       IF WS-NUM-COUNT-TOTAL &gt; 2
[D]           DISPLAY 'WS-NUM-COUNT-TOTAL IS ' WS-NUM-COUNT-TOTAL
          MOVE ZERO TO WS-NUM-COUNT-TOTAL WS-NUM-COUNT-POINT
          INSPECT WS-AMOUNT-UNSTR(1:WS-AMOUNT-UNSTR-L)
             TALLYING WS-NUM-COUNT-POINT
             FOR CHARACTERS BEFORE '.'
          ADD 2 TO WS-NUM-COUNT-POINT GIVING WS-NUM-COUNT-POINT
          INSPECT WS-AMOUNT-UNSTR
             (WS-NUM-COUNT-POINT:WS-AMOUNT-UNSTR-L)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AFTER '.'
          IF WS-NUM-COUNT-TOTAL &gt; 2</t>
  </si>
  <si>
    <t>A condição está nesta linha (IF aninhado); a mensagem e a consequência estão na BNK1TFN-048. Linhas [D] ignoradas (depuração). Equivalente à BNK1CRA-042.</t>
  </si>
  <si>
    <t>BNK1TFN-048</t>
  </si>
  <si>
    <t>1173</t>
  </si>
  <si>
    <t>1175-1208</t>
  </si>
  <si>
    <t>More than two of them are numeric</t>
  </si>
  <si>
    <t xml:space="preserve">             MOVE SPACES TO MESSAGEO
             STRING
                'Only up to two decimal places are supported.'
                DELIMITED BY SIZE,
             INTO MESSAGEO
             MOVE 'N' TO VALID-DATA-SW
             MOVE -1 TO AMTL
             GO TO VA999
          END-IF
       END-IF
    END-IF.
    COMPUTE WS-AMOUNT-AS-FLOAT =
       FUNCTION NUMVAL(WS-AMOUNT-UNSTR(1:WS-AMOUNT-UNSTR-L)).
    IF WS-AMOUNT-AS-FLOAT = ZERO
       MOVE SPACES TO MESSAGEO
       STRING 'Please supply a non-zero amount.'
          DELIMITED BY SIZE,
          INTO MESSAGEO
          MOVE 'N' TO VALID-DATA-SW
          MOVE -1 TO AMTL
          GO TO VA999
    END-IF.
    MOVE SPACES TO MESSAGEO.
    MOVE 'Y' TO VALID-DATA-SW.
VA999.
    EXIT.
POPULATE-TIME-DATE SECTION.
PTD010.</t>
  </si>
  <si>
    <t>As linhas iniciais (1175-1188) são a consequência da regra da BNK1TFN-047. O trecho também define a entrada como válida (VALID-DATA-SW = 'Y') quando todas as validações passam. O comentário 'More than two of them are numeric' descreve a contagem de dígitos após o ponto. Equivalente à BNK1CRA-043.</t>
  </si>
  <si>
    <t>DBCRFUN-010</t>
  </si>
  <si>
    <t>380-382</t>
  </si>
  <si>
    <t>384-387</t>
  </si>
  <si>
    <t>If the SQLCODE from the SELECT is OK then update the record and update the details on the PROCTRAN (Processed transaction) datastore.</t>
  </si>
  <si>
    <t xml:space="preserve">    COMPUTE HV-ACCOUNT-AVAIL-BAL =
       HV-ACCOUNT-AVAIL-BAL + COMM-AMT.
    COMPUTE HV-ACCOUNT-ACTUAL-BAL =
       HV-ACCOUNT-ACTUAL-BAL + COMM-AMT.</t>
  </si>
  <si>
    <t>Reincluído</t>
  </si>
  <si>
    <t>procedural</t>
  </si>
  <si>
    <t>Se a leitura da conta for bem-sucedida e a solicitação não for negada pelas verificações anteriores, o valor da operação (negativo no débito, positivo no crédito) é somado ao saldo disponível e ao saldo atual da conta.</t>
  </si>
  <si>
    <t>Reincluída da aba Descartados (motivo do descarte: procedural, sem decisão nem tratamento de falha). O comentário fala em 'SQLCODE do SELECT OK', mas o código não contém IF: a condição é implícita, pois só se chega a este ponto se a leitura da conta foi bem-sucedida (DBCRFUN-005) e se a solicitação não foi negada pelas regras de MORTGAGE/LOAN e de saldo insuficiente (DBCRFUN-008 e 009). Regra de cálculo; sem ela o gabarito não registra a atualização de saldo em si.</t>
  </si>
  <si>
    <t>DBCRFUN-015</t>
  </si>
  <si>
    <t>438-439</t>
  </si>
  <si>
    <t>441-448</t>
  </si>
  <si>
    <t>If the RESP CODE was normal then we need to write to the PROCTRAN (processed transaction) datastore.</t>
  </si>
  <si>
    <t xml:space="preserve">    PERFORM WRITE-TO-PROCTRAN.
UAD999.
    EXIT.
WRITE-TO-PROCTRAN SECTION.
WTP010.</t>
  </si>
  <si>
    <t>Se a atualização da conta for bem-sucedida, o registro da transação é gravado em PROCTRAN.</t>
  </si>
  <si>
    <t>Reincluída da aba Descartados (motivo do descarte: procedural, sem decisão nem tratamento de falha). A condição é implícita: este ponto só é alcançado se o IF SQLCODE NOT = 0 da DBCRFUN-013 não for satisfeito (a falha sai por GO TO UAD999). O trecho extraído inclui o fim da seção (UAD999 EXIT) e o início de WRITE-TO-PROCTRAN, por corte do extrator; ambos ficam fora da regra. O detalhe da gravação está na DBCRFUN-016 (Descartados, mantida descartada para não duplicar a regra).</t>
  </si>
  <si>
    <t>XFRFUN-032</t>
  </si>
  <si>
    <t>907-909</t>
  </si>
  <si>
    <t>911-913</t>
  </si>
  <si>
    <t>If the updates to the TO and FROM accounts were successful then we need to write to PROCTRAN (processed transaction) to record the successful transfer.</t>
  </si>
  <si>
    <t xml:space="preserve">    PERFORM WRITE-TO-PROCTRAN.
    MOVE 'Y' TO COMM-SUCCESS.</t>
  </si>
  <si>
    <t>1. Se as atualizações das contas de origem e de destino forem bem-sucedidas, o registro da transação é gravado em PROCTRAN.
2. Ao final, a transferência é sinalizada como bem-sucedida (COMM-SUCCESS igual a 'Y').</t>
  </si>
  <si>
    <t>Reincluída da aba Descartados (motivo do descarte: procedural, sem decisão nem tratamento de falha). O comentário condiciona a gravação ao sucesso das duas atualizações, mas o código não contém IF: a condição é implícita, pois as falhas anteriores saem do parágrafo (por exemplo, GO TO UAD999 na linha 898). Pelo critério proposto de infraestrutura, a decisão de registrar a transferência concluída é regra de negócio, e a execução da gravação e a montagem do registro (XFRFUN-059) ficam fora do gabarito. Mesmo padrão do DBCRFUN-015 e 026. Critério a levar ao orientador.</t>
  </si>
  <si>
    <t>XFRFUN-036</t>
  </si>
  <si>
    <t>983-984</t>
  </si>
  <si>
    <t>986-990</t>
  </si>
  <si>
    <t>If the SQLCODE is OK then update the row on ACCOUNT for the FROM account.</t>
  </si>
  <si>
    <t xml:space="preserve">    COMPUTE HV-ACCOUNT-AVAIL-BAL =
    HV-ACCOUNT-AVAIL-BAL - COMM-AMT.
    COMPUTE HV-ACCOUNT-ACTUAL-BAL =
    HV-ACCOUNT-ACTUAL-BAL - COMM-AMT.</t>
  </si>
  <si>
    <t>Se a leitura da conta de origem for bem-sucedida, o valor da transferência é subtraído do saldo disponível e do saldo atual da conta de origem.</t>
  </si>
  <si>
    <t>Reincluída da aba Descartados (motivo do descarte: procedural, sem decisão nem tratamento de falha). O comentário fala em 'SQLCODE OK', mas o código não contém IF: a condição é implícita, pois só se chega a este ponto se a leitura da conta de origem foi bem-sucedida (a falha sai por GO TO UADF999, linha 978). Regra de cálculo; o UPDATE seguinte (até a linha 1008) é acesso a dados e fica fora do gabarito. O trecho exibido contém só o cálculo.</t>
  </si>
  <si>
    <t>XFRFUN-051</t>
  </si>
  <si>
    <t>1354-1355</t>
  </si>
  <si>
    <t>1357-1360</t>
  </si>
  <si>
    <t>If the SELECT was successful, then amend the account balances and UPDATE the row back onto the ACCOUNT table.</t>
  </si>
  <si>
    <t xml:space="preserve">    COMPUTE HV-ACCOUNT-AVAIL-BAL = HV-ACCOUNT-AVAIL-BAL +
            COMM-AMT.
    COMPUTE HV-ACCOUNT-ACTUAL-BAL = HV-ACCOUNT-ACTUAL-BAL +
            COMM-AMT.</t>
  </si>
  <si>
    <t>Se a leitura da conta de destino for bem-sucedida, o valor da transferência é somado ao saldo disponível e ao saldo atual da conta de destino.</t>
  </si>
  <si>
    <t>Reincluída da aba Descartados (motivo do descarte: procedural, sem decisão nem tratamento de falha). O comentário fala em 'SELECT bem-sucedido', mas o código não contém IF: a condição é implícita, pois a falha anterior termina em ABEND 'RUF2' (linhas 1345-1347). Regra de cálculo; o UPDATE seguinte (linhas 1362-1378) é acesso a dados e fica fora do gabarito. O trecho exibido contém só o cálculo.</t>
  </si>
  <si>
    <t>Motivo do descarte</t>
  </si>
  <si>
    <t>Reavaliação</t>
  </si>
  <si>
    <t>DBCRFUN-002</t>
  </si>
  <si>
    <t>215-221</t>
  </si>
  <si>
    <t>223</t>
  </si>
  <si>
    <t>Determine what kind of ACCOUNT datastore we should be accessing Go and update the ACCOUNT record</t>
  </si>
  <si>
    <t xml:space="preserve">     PERFORM UPDATE-ACCOUNT-DB2.</t>
  </si>
  <si>
    <t>Procedural (sem decisão nem tratamento de falha)</t>
  </si>
  <si>
    <t>comentário delega lógica (PERFORM); comentário menciona condição: reavaliar</t>
  </si>
  <si>
    <t>Manter descartado</t>
  </si>
  <si>
    <t>DBCRFUN-003</t>
  </si>
  <si>
    <t>225-226</t>
  </si>
  <si>
    <t>229-240</t>
  </si>
  <si>
    <t>The COMMAREA values have now been set so all we need to do is finish</t>
  </si>
  <si>
    <t xml:space="preserve">    PERFORM GET-ME-OUT-OF-HERE.
A999.
    EXIT.
UPDATE-ACCOUNT-DB2 SECTION.
UAD010.
    MOVE COMM-ACCNO TO DESIRED-ACC-NO.
    MOVE DESIRED-SORT-CODE TO HV-ACCOUNT-SORTCODE.
    MOVE DESIRED-ACC-NO TO HV-ACCOUNT-ACC-NO.</t>
  </si>
  <si>
    <t>comentário delega lógica (PERFORM)</t>
  </si>
  <si>
    <t>DBCRFUN-004</t>
  </si>
  <si>
    <t>243</t>
  </si>
  <si>
    <t>245-273</t>
  </si>
  <si>
    <t>Retrieve the account information</t>
  </si>
  <si>
    <t xml:space="preserve">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</si>
  <si>
    <t>DBCRFUN-006</t>
  </si>
  <si>
    <t>290-291</t>
  </si>
  <si>
    <t>293-297</t>
  </si>
  <si>
    <t xml:space="preserve">       PERFORM CHECK-FOR-STORM-DRAIN-DB2
       GO TO UAD999
    END-IF.</t>
  </si>
  <si>
    <t>comentário delega lógica (PERFORM); contém GO TO (desvio incondicional); comentário menciona condição: reavaliar</t>
  </si>
  <si>
    <t>comentário menciona condição: reavaliar</t>
  </si>
  <si>
    <t>Reincluir</t>
  </si>
  <si>
    <t>DBCRFUN-011</t>
  </si>
  <si>
    <t>390</t>
  </si>
  <si>
    <t>392-408</t>
  </si>
  <si>
    <t>Update the account record</t>
  </si>
  <si>
    <t xml:space="preserve">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</si>
  <si>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DBCRFUN-014</t>
  </si>
  <si>
    <t>429-430</t>
  </si>
  <si>
    <t>432-435</t>
  </si>
  <si>
    <t>DBCRFUN-016</t>
  </si>
  <si>
    <t>451-452</t>
  </si>
  <si>
    <t>454-470</t>
  </si>
  <si>
    <t>Write to the PROCTRAN datastore deatils regarding the successfully applied transaction.</t>
  </si>
  <si>
    <t xml:space="preserve">     PERFORM WRITE-TO-PROCTRAN-DB2.
WTP999.
    EXIT.
WRITE-TO-PROCTRAN-DB2 SECTION.
WTPD010.
    INITIALIZE HOST-PROCTRAN-ROW.
    INITIALIZE WS-EIBTASKN12.
    MOVE 'PRTR' TO HV-PROCTRAN-EYECATCHER.
    MOVE COMM-SORTC TO HV-PROCTRAN-SORT-CODE.
    MOVE COMM-ACCNO TO HV-PROCTRAN-ACC-NUMBER.
    MOVE EIBTASKN TO WS-EIBTASKN12.
    MOVE WS-EIBTASKN12 TO HV-PROCTRAN-REF.</t>
  </si>
  <si>
    <t>DBCRFUN-020</t>
  </si>
  <si>
    <t>522</t>
  </si>
  <si>
    <t>524-549</t>
  </si>
  <si>
    <t>Write a record to PROCTRAN</t>
  </si>
  <si>
    <t xml:space="preserve">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t>
  </si>
  <si>
    <t>DBCRFUN-025</t>
  </si>
  <si>
    <t>639-640</t>
  </si>
  <si>
    <t>642-644</t>
  </si>
  <si>
    <t xml:space="preserve">       PERFORM CHECK-FOR-STORM-DRAIN-DB2
    ELSE</t>
  </si>
  <si>
    <t>DBCRFUN-028</t>
  </si>
  <si>
    <t>699</t>
  </si>
  <si>
    <t>701-705</t>
  </si>
  <si>
    <t>How ABENDs are dealt with</t>
  </si>
  <si>
    <t>ABEND-HANDLING SECTION.
AH010.
    EXEC CICS ASSIGN ABCODE(MY-ABEND-CODE)
    END-EXEC.</t>
  </si>
  <si>
    <t>XFRFUN-002</t>
  </si>
  <si>
    <t>299-300</t>
  </si>
  <si>
    <t>302-311</t>
  </si>
  <si>
    <t xml:space="preserve">    PERFORM GET-ME-OUT-OF-HERE.
A999.
    EXIT.
UPDATE-ACCOUNT-DB2 SECTION.
UAD010.
    MOVE 'N' TO COMM-SUCCESS.</t>
  </si>
  <si>
    <t>XFRFUN-007</t>
  </si>
  <si>
    <t>387</t>
  </si>
  <si>
    <t>389</t>
  </si>
  <si>
    <t>Update the FROM account</t>
  </si>
  <si>
    <t xml:space="preserve">       PERFORM UPDATE-ACCOUNT-DB2-FROM</t>
  </si>
  <si>
    <t>XFRFUN-018</t>
  </si>
  <si>
    <t>598</t>
  </si>
  <si>
    <t>600</t>
  </si>
  <si>
    <t>Update the TO account number</t>
  </si>
  <si>
    <t xml:space="preserve">       PERFORM UPDATE-ACCOUNT-DB2-TO</t>
  </si>
  <si>
    <t>911-920</t>
  </si>
  <si>
    <t xml:space="preserve">    PERFORM WRITE-TO-PROCTRAN.
    MOVE 'Y' TO COMM-SUCCESS.
UAD999.
    EXIT.
UPDATE-ACCOUNT-DB2-FROM SECTION.
UADF010.</t>
  </si>
  <si>
    <t>XFRFUN-033</t>
  </si>
  <si>
    <t>922</t>
  </si>
  <si>
    <t>924-958</t>
  </si>
  <si>
    <t>Position ourself at the matching FROM account record</t>
  </si>
  <si>
    <t xml:space="preserve">    MOVE COMM-FACCNO TO DESIRED-ACC-NO.
    MOVE COMM-FSCODE TO DESIRED-SORT-CODE.
    MOVE DESIRED-SORT-CODE TO HV-ACCOUNT-SORTCODE.
    MOVE DESIRED-ACC-NO TO HV-ACCOUNT-ACC-NO.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</si>
  <si>
    <t>XFRFUN-035</t>
  </si>
  <si>
    <t>973-974</t>
  </si>
  <si>
    <t>976-980</t>
  </si>
  <si>
    <t xml:space="preserve">       PERFORM CHECK-FOR-STORM-DRAIN-DB2
       GO TO UADF999
    END-IF.</t>
  </si>
  <si>
    <t>986-1008</t>
  </si>
  <si>
    <t xml:space="preserve">    COMPUTE HV-ACCOUNT-AVAIL-BAL =
    HV-ACCOUNT-AVAIL-BAL - COMM-AMT.
    COMPUTE HV-ACCOUNT-ACTUAL-BAL =
    HV-ACCOUNT-ACTUAL-BAL - COMM-AMT.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</si>
  <si>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XFRFUN-038</t>
  </si>
  <si>
    <t>1020-1021</t>
  </si>
  <si>
    <t>1023-1027</t>
  </si>
  <si>
    <t>XFRFUN-039</t>
  </si>
  <si>
    <t>1030-1031</t>
  </si>
  <si>
    <t>1033-1044</t>
  </si>
  <si>
    <t>If the update to the FROM account was OK store the updated balances away.</t>
  </si>
  <si>
    <t xml:space="preserve">    MOVE HV-ACCOUNT-AVAIL-BAL TO COMM-FAVBAL.
    MOVE HV-ACCOUNT-ACTUAL-BAL TO COMM-FACTBAL.
    MOVE 'Y' TO COMM-SUCCESS.
UADF999.
    EXIT.
UPDATE-ACCOUNT-DB2-TO SECTION.
UADT010.
    MOVE 'N' TO COMM-SUCCESS.</t>
  </si>
  <si>
    <t>XFRFUN-040</t>
  </si>
  <si>
    <t>1046-1047</t>
  </si>
  <si>
    <t>1049-1085</t>
  </si>
  <si>
    <t>Position ourself at the matching account record for the TO account</t>
  </si>
  <si>
    <t xml:space="preserve">    INITIALIZE HOST-ACCOUNT-ROW.
    MOVE COMM-TACCNO TO DESIRED-ACC-NO.
    MOVE COMM-TSCODE TO DESIRED-SORT-CODE.
    MOVE DESIRED-SORT-CODE TO HV-ACCOUNT-SORTCODE.
    MOVE DESIRED-ACC-NO TO HV-ACCOUNT-ACC-NO.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</si>
  <si>
    <t>XFRFUN-042</t>
  </si>
  <si>
    <t>1094-1095</t>
  </si>
  <si>
    <t>1097</t>
  </si>
  <si>
    <t xml:space="preserve">       PERFORM CHECK-FOR-STORM-DRAIN-DB2</t>
  </si>
  <si>
    <t>1357-1378</t>
  </si>
  <si>
    <t xml:space="preserve">    COMPUTE HV-ACCOUNT-AVAIL-BAL = HV-ACCOUNT-AVAIL-BAL +
            COMM-AMT.
    COMPUTE HV-ACCOUNT-ACTUAL-BAL = HV-ACCOUNT-ACTUAL-BAL +
            COMM-AMT.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</si>
  <si>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XFRFUN-058</t>
  </si>
  <si>
    <t>1552</t>
  </si>
  <si>
    <t>1554-1572</t>
  </si>
  <si>
    <t>Store the data away</t>
  </si>
  <si>
    <t xml:space="preserve">    MOVE HV-ACCOUNT-AVAIL-BAL  TO COMM-TAVBAL.
    MOVE HV-ACCOUNT-ACTUAL-BAL TO COMM-TACTBAL.
    MOVE 'Y' TO COMM-SUCCESS.
UADT999.
    EXIT.
WRITE-TO-PROCTRAN SECTION.
WTP010.
    PERFORM WRITE-TO-PROCTRAN-DB2.
WTP999.
    EXIT.
WRITE-TO-PROCTRAN-DB2 SECTION.
WTPD010.</t>
  </si>
  <si>
    <t>XFRFUN-059</t>
  </si>
  <si>
    <t>1574-1575</t>
  </si>
  <si>
    <t>1577-1584</t>
  </si>
  <si>
    <t>Writes details of the successful transfer to the PROCTRAN (Processed Transaction) datastore.</t>
  </si>
  <si>
    <t xml:space="preserve">    INITIALIZE HOST-PROCTRAN-ROW.
    INITIALIZE WS-EIBTASKN12.
    MOVE 'PRTR' TO HV-PROCTRAN-EYECATCHER.
    MOVE COMM-FSCODE TO HV-PROCTRAN-SORT-CODE.
    MOVE COMM-FACCNO TO HV-PROCTRAN-ACC-NUMBER.
    MOVE EIBTASKN TO WS-EIBTASKN12.
    MOVE WS-EIBTASKN12 TO HV-PROCTRAN-REF.</t>
  </si>
  <si>
    <t>XFRFUN-060</t>
  </si>
  <si>
    <t>1587</t>
  </si>
  <si>
    <t>1589-1641</t>
  </si>
  <si>
    <t>Populate the time and date</t>
  </si>
  <si>
    <t xml:space="preserve">    EXEC CICS ASKTIME
         ABSTIME(WS-U-TIME)
    END-EXEC.
    EXEC CICS FORMATTIME
         ABSTIME(WS-U-TIME)
         DDMMYYYY(WS-ORIG-DATE)
         TIME(HV-PROCTRAN-TIME)
         DATESEP('.')
    END-EXEC.
    MOVE WS-ORIG-DATE TO WS-ORIG-DATE-GRP-X.
    MOVE WS-ORIG-DATE-GRP-X TO HV-PROCTRAN-DATE.
    SET PROC-TY-TRANSFER IN PROCTRAN-AREA TO TRUE
    MOVE PROC-TRAN-TYPE IN PROCTRAN-AREA TO HV-PROCTRAN-TYPE.
    MOVE COMM-AMT TO HV-PROCTRAN-AMOUNT.
    SET PROC-TRAN-DESC-XFR-FLAG IN PROCTRAN-AREA TO TRUE.
    MOVE COMM-TSCODE
      TO PROC-TRAN-DESC-XFR-SORTCODE IN PROCTRAN-AREA.
    MOVE COMM-TACCNO
      TO PROC-TRAN-DESC-XFR-ACCOUNT IN PROCTRAN-AREA.
    MOVE PROC-TRAN-DESC IN PROCTRAN-AREA TO HV-PROCTRAN-DESC.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t>
  </si>
  <si>
    <t>XFRFUN-066</t>
  </si>
  <si>
    <t>1772</t>
  </si>
  <si>
    <t>1774-1776</t>
  </si>
  <si>
    <t>Deal with any abends</t>
  </si>
  <si>
    <t xml:space="preserve">    EXEC CICS ASSIGN
       ABCODE(MY-ABEND-CODE)
    END-EXEC.</t>
  </si>
  <si>
    <t>BNK1CRA-010</t>
  </si>
  <si>
    <t>282</t>
  </si>
  <si>
    <t>284-335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</si>
  <si>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TRANSID(OCRA) FAIL.'
             DELIMITED BY SIZE,
             'EIBRESP=' DELIMITED BY SIZE,
             ABND-RESPCODE DELIMITED BY SIZE,
             ' RESP2=' DELIMITED BY SIZE,
             ABND-RESP2CODE DELIMITED BY SIZE
             INTO ABND-FREEFORM
       END-STRING
       EXEC CICS LINK PROGRAM(WS-ABEND-PGM)
                 COMMAREA(ABNDINFO-REC)
       END-EXEC
       INITIALIZE WS-FAIL-INFO
       MOVE 'BNK1CRA - A010 - RETURN TRANSID(OCRA) FAIL' TO
          WS-CICS-FAIL-MSG
       MOVE WS-CICS-RESP  TO WS-CICS-RESP-DISP
       MOVE WS-CICS-RESP2 TO WS-CICS-RESP2-DISP
       PERFORM ABEND-THIS-TASK
    END-IF.
A999.
    EXIT.
PROCESS-MAP SECTION.
PM010.</t>
  </si>
  <si>
    <t>comentário curto; comentário delega lógica (PERFORM)</t>
  </si>
  <si>
    <t>BNK1CRA-011</t>
  </si>
  <si>
    <t>337</t>
  </si>
  <si>
    <t>339</t>
  </si>
  <si>
    <t>Retrieve the data from the map</t>
  </si>
  <si>
    <t xml:space="preserve">    PERFORM RECEIVE-MAP.</t>
  </si>
  <si>
    <t>BNK1CRA-012</t>
  </si>
  <si>
    <t>342</t>
  </si>
  <si>
    <t>344</t>
  </si>
  <si>
    <t>Validate the received data</t>
  </si>
  <si>
    <t xml:space="preserve">    PERFORM EDIT-DATA.</t>
  </si>
  <si>
    <t>BNK1CRA-014</t>
  </si>
  <si>
    <t>357</t>
  </si>
  <si>
    <t>359-366</t>
  </si>
  <si>
    <t>Output the data to the screen</t>
  </si>
  <si>
    <t xml:space="preserve">    PERFORM SEND-MAP.
PM999.
    EXIT.
RECEIVE-MAP SECTION.
RM010.</t>
  </si>
  <si>
    <t>BNK1CRA-017</t>
  </si>
  <si>
    <t>391-442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</si>
  <si>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'EIBRESP=' DELIMITED BY SIZE,
             ABND-RESPCODE DELIMITED BY SIZE,
             ' RESP2=' DELIMITED BY SIZE,
             ABND-RESP2CODE DELIMITED BY SIZE
             INTO ABND-FREEFORM
       END-STRING
       EXEC CICS LINK PROGRAM(WS-ABEND-PGM)
                 COMMAREA(ABNDINFO-REC)
       END-EXEC
       INITIALIZE WS-FAIL-INFO
       MOVE 'BNKMENU - RM010 - RECEIVE MAP FAIL ' TO
          WS-CICS-FAIL-MSG
       MOVE WS-CICS-RESP  TO WS-CICS-RESP-DISP
       MOVE WS-CICS-RESP2 TO WS-CICS-RESP2-DISP
       PERFORM ABEND-THIS-TASK
    END-IF.
RM999.
    EXIT.
EDIT-DATA SECTION.
ED010.</t>
  </si>
  <si>
    <t>BNK1CRA-019</t>
  </si>
  <si>
    <t>472</t>
  </si>
  <si>
    <t>474-481</t>
  </si>
  <si>
    <t>Validate the Amount entered</t>
  </si>
  <si>
    <t xml:space="preserve">    PERFORM VALIDATE-AMOUNT.
ED999.
    EXIT.
UPD-CRED-DATA SECTION.
UCD010.</t>
  </si>
  <si>
    <t>BNK1CRA-020</t>
  </si>
  <si>
    <t>486-489</t>
  </si>
  <si>
    <t>Set up the COMMAREA fields required by DBCRFUN and then link to it.</t>
  </si>
  <si>
    <t xml:space="preserve">    INITIALIZE SUBPGM-PARMS.
    MOVE ACCNOI TO SUBPGM-ACCNO.
    MOVE 0 TO SUBPGM-AMT.</t>
  </si>
  <si>
    <t>BNK1CRA-024</t>
  </si>
  <si>
    <t>530</t>
  </si>
  <si>
    <t>532-576</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</si>
  <si>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'UCD010 - LINK DBCRFUN FAIL.'
             DELIMITED BY SIZE,
             'EIBRESP=' DELIMITED BY SIZE,
             ABND-RESPCODE DELIMITED BY SIZE,
             ' RESP2=' DELIMITED BY SIZE,
             ABND-RESP2CODE DELIMITED BY SIZE
             INTO ABND-FREEFORM
       END-STRING
       EXEC CICS LINK PROGRAM(WS-ABEND-PGM)
                 COMMAREA(ABNDINFO-REC)
       END-EXEC
       INITIALIZE WS-FAIL-INFO
       MOVE 'BNK1CRA - UCD010 - LINK DBCRFUN  FAIL      '
          TO WS-CICS-FAIL-MSG
       MOVE WS-CICS-RESP  TO WS-CICS-RESP-DISP
       MOVE WS-CICS-RESP2 TO WS-CICS-RESP2-DISP
       PERFORM ABEND-THIS-TASK
    END-IF.</t>
  </si>
  <si>
    <t>BNK1CRA-026</t>
  </si>
  <si>
    <t>629</t>
  </si>
  <si>
    <t>631-644</t>
  </si>
  <si>
    <t>Set up the values on the map</t>
  </si>
  <si>
    <t xml:space="preserve">    MOVE SUBPGM-ACCNO       TO ACCNOO.
    MOVE SUBPGM-SORTC       TO SORTCO.
    MOVE SUBPGM-ACT-BAL    TO ACTUAL-BALANCE-DISPLAY.
    MOVE SUBPGM-AV-BAL     TO AVAILABLE-BALANCE-DISPLAY.
    MOVE ACTUAL-BALANCE-DISPLAY      TO ACTBALO.
    MOVE AVAILABLE-BALANCE-DISPLAY   TO AVBALO.
UCD999.
    EXIT.
SEND-MAP SECTION.
SM010.</t>
  </si>
  <si>
    <t>BNK1CRA-029</t>
  </si>
  <si>
    <t>668</t>
  </si>
  <si>
    <t>670-717</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</si>
  <si>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'EIBRESP=' DELIMITED BY SIZE,
                ABND-RESPCODE DELIMITED BY SIZE,
                ' RESP2=' DELIMITED BY SIZE,
                ABND-RESP2CODE DELIMITED BY SIZE
                INTO ABND-FREEFORM
          END-STRING
          EXEC CICS LINK PROGRAM(WS-ABEND-PGM)
                    COMMAREA(ABNDINFO-REC)
          END-EXEC
          INITIALIZE WS-FAIL-INFO
          MOVE 'BNK1CRA - SM010 - SEND MAP ERASE FAIL '
             TO WS-CICS-FAIL-MSG
          MOVE WS-CICS-RESP  TO WS-CICS-RESP-DISP
          MOVE WS-CICS-RESP2 TO WS-CICS-RESP2-DISP
          PERFORM ABEND-THIS-TASK
       END-IF
       GO TO SM999
    END-IF.</t>
  </si>
  <si>
    <t>comentário curto; comentário delega lógica (PERFORM); contém GO TO (desvio incondicional)</t>
  </si>
  <si>
    <t>BNK1CRA-032</t>
  </si>
  <si>
    <t>742</t>
  </si>
  <si>
    <t>744-791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</si>
  <si>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'EIBRESP=' DELIMITED BY SIZE,
                ABND-RESPCODE DELIMITED BY SIZE,
                ' RESP2=' DELIMITED BY SIZE,
                ABND-RESP2CODE DELIMITED BY SIZE
                INTO ABND-FREEFORM
          END-STRING
          EXEC CICS LINK PROGRAM(WS-ABEND-PGM)
                    COMMAREA(ABNDINFO-REC)
          END-EXEC
          INITIALIZE WS-FAIL-INFO
          MOVE 'BNK1CRA - SM010 - SEND MAP DATAONLY FAIL '
             TO WS-CICS-FAIL-MSG
          MOVE WS-CICS-RESP  TO WS-CICS-RESP-DISP
          MOVE WS-CICS-RESP2 TO WS-CICS-RESP2-DISP
          PERFORM ABEND-THIS-TASK
       END-IF
       GO TO SM999
    END-IF.</t>
  </si>
  <si>
    <t>BNK1CRA-035</t>
  </si>
  <si>
    <t>819-872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</si>
  <si>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'EIBRESP=' DELIMITED BY SIZE,
                ABND-RESPCODE DELIMITED BY SIZE,
                ' RESP2=' DELIMITED BY SIZE,
                ABND-RESP2CODE DELIMITED BY SIZE
                INTO ABND-FREEFORM
          END-STRING
          EXEC CICS LINK PROGRAM(WS-ABEND-PGM)
                    COMMAREA(ABNDINFO-REC)
          END-EXEC
          INITIALIZE WS-FAIL-INFO
          MOVE 'BNK1CRA - SM010 - SEND MAP DATAONLY ALARM FAIL '
             TO WS-CICS-FAIL-MSG
          MOVE WS-CICS-RESP  TO WS-CICS-RESP-DISP
          MOVE WS-CICS-RESP2 TO WS-CICS-RESP2-DISP
          PERFORM ABEND-THIS-TASK
       END-IF
    END-IF.
SM999.
    EXIT.
SEND-TERMINATION-MSG SECTION.
STM010.</t>
  </si>
  <si>
    <t>BNK1TFN-008</t>
  </si>
  <si>
    <t>239-242</t>
  </si>
  <si>
    <t>MOVE 10 TO CUSTNOL</t>
  </si>
  <si>
    <t xml:space="preserve">          SET SEND-DATAONLY-ALARM TO TRUE
          PERFORM SEND-MAP
    END-EVALUATE.</t>
  </si>
  <si>
    <t>possível código desativado; comentário delega lógica (PERFORM)</t>
  </si>
  <si>
    <t>BNK1TFN-011</t>
  </si>
  <si>
    <t>266</t>
  </si>
  <si>
    <t>268-320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</si>
  <si>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TRANSID(OCCS) FAIL.'
             DELIMITED BY SIZE,
             ' EIBRESP=' DELIMITED BY SIZE,
             ABND-RESPCODE DELIMITED BY SIZE,
             ' RESP2=' DELIMITED BY SIZE,
             ABND-RESP2CODE DELIMITED BY SIZE
             INTO ABND-FREEFORM
       END-STRING
       EXEC CICS LINK PROGRAM(WS-ABEND-PGM)
                 COMMAREA(ABNDINFO-REC)
       END-EXEC
       INITIALIZE WS-FAIL-INFO
       MOVE 'BNK1TFN - A010 - RETURN TRANSID(OCCS) FAIL' TO
          WS-CICS-FAIL-MSG
       MOVE WS-CICS-RESP  TO WS-CICS-RESP-DISP
       MOVE WS-CICS-RESP2 TO WS-CICS-RESP2-DISP
       PERFORM ABEND-THIS-TASK
    END-IF.
A999.
    EXIT.
PROCESS-MAP SECTION.
PM010.</t>
  </si>
  <si>
    <t>BNK1TFN-012</t>
  </si>
  <si>
    <t>322</t>
  </si>
  <si>
    <t>325</t>
  </si>
  <si>
    <t>BNK1TFN-013</t>
  </si>
  <si>
    <t>330</t>
  </si>
  <si>
    <t>BNK1TFN-015</t>
  </si>
  <si>
    <t>343</t>
  </si>
  <si>
    <t>345-352</t>
  </si>
  <si>
    <t>BNK1TFN-018</t>
  </si>
  <si>
    <t>375</t>
  </si>
  <si>
    <t>377-429</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</si>
  <si>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 EIBRESP=' DELIMITED BY SIZE,
             ABND-RESPCODE DELIMITED BY SIZE,
             ' RESP2=' DELIMITED BY SIZE,
             ABND-RESP2CODE DELIMITED BY SIZE
             INTO ABND-FREEFORM
       END-STRING
       EXEC CICS LINK PROGRAM(WS-ABEND-PGM)
                 COMMAREA(ABNDINFO-REC)
       END-EXEC
       INITIALIZE WS-FAIL-INFO
       MOVE 'BNK1TFN - RM010 - RECEIVE MAP FAIL ' TO
          WS-CICS-FAIL-MSG
       MOVE WS-CICS-RESP  TO WS-CICS-RESP-DISP
       MOVE WS-CICS-RESP2 TO WS-CICS-RESP2-DISP
       PERFORM ABEND-THIS-TASK
    END-IF.
RM999.
    EXIT.
EDIT-DATA SECTION.
ED010.</t>
  </si>
  <si>
    <t>BNK1TFN-020</t>
  </si>
  <si>
    <t>470</t>
  </si>
  <si>
    <t>472-479</t>
  </si>
  <si>
    <t xml:space="preserve">    PERFORM VALIDATE-AMOUNT.
ED999.
    EXIT.
GET-ACC-DATA SECTION.
GCD010.</t>
  </si>
  <si>
    <t>BNK1TFN-021</t>
  </si>
  <si>
    <t>481-483</t>
  </si>
  <si>
    <t>485-489</t>
  </si>
  <si>
    <t>Set up the fields required by XFRFUN then link to it to get account information and perform the transfer, then check what gets returned.</t>
  </si>
  <si>
    <t xml:space="preserve">    INITIALIZE SUBPGM-PARMS.
    MOVE FACCNOI TO  SUBPGM-FACCNO.
    MOVE TACCNOI TO  SUBPGM-TACCNO.
    MOVE 'N'     TO  SUBPGM-SUCCESS.</t>
  </si>
  <si>
    <t>BNK1TFN-024</t>
  </si>
  <si>
    <t>515</t>
  </si>
  <si>
    <t>517-561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</si>
  <si>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'GCD010 - LINK XFRFUN FAIL.'
             DELIMITED BY SIZE,
             ' EIBRESP=' DELIMITED BY SIZE,
             ABND-RESPCODE DELIMITED BY SIZE,
             ' RESP2=' DELIMITED BY SIZE,
             ABND-RESP2CODE DELIMITED BY SIZE
             INTO ABND-FREEFORM
       END-STRING
       EXEC CICS LINK PROGRAM(WS-ABEND-PGM)
                 COMMAREA(ABNDINFO-REC)
       END-EXEC
       INITIALIZE WS-FAIL-INFO
       MOVE 'BNK1TFN - GCD010 - LINK XFRFUN  FAIL      '
          TO WS-CICS-FAIL-MSG
       MOVE WS-CICS-RESP  TO WS-CICS-RESP-DISP
       MOVE WS-CICS-RESP2 TO WS-CICS-RESP2-DISP
       PERFORM ABEND-THIS-TASK
    END-IF.</t>
  </si>
  <si>
    <t>BNK1TFN-025</t>
  </si>
  <si>
    <t>564</t>
  </si>
  <si>
    <t>566-577</t>
  </si>
  <si>
    <t>Map the returned data to the screen output fields</t>
  </si>
  <si>
    <t xml:space="preserve">    MOVE SUBPGM-FACCNO    TO FACCNO2O
    MOVE SUBPGM-FSCODE    TO FSORTCO
    MOVE SUBPGM-TACCNO    TO TACCNO2O
    MOVE SUBPGM-TSCODE    TO TSORTCO
    MOVE ZERO             TO FROM-ACTUAL-BALANCE-DISPLAY
    MOVE ZERO             TO FROM-AVAILABLE-BALANCE-DISPLAY
    MOVE ZERO             TO TO-ACTUAL-BALANCE-DISPLAY
    MOVE ZERO             TO TO-AVAILABLE-BALANCE-DISPLAY
    MOVE FROM-ACTUAL-BALANCE-DISPLAY TO FACTBALO
    MOVE FROM-AVAILABLE-BALANCE-DISPLAY TO FAVBALO
    MOVE TO-ACTUAL-BALANCE-DISPLAY    TO TACTBALO
    MOVE TO-AVAILABLE-BALANCE-DISPLAY TO TAVBALO</t>
  </si>
  <si>
    <t>BNK1TFN-027</t>
  </si>
  <si>
    <t>643</t>
  </si>
  <si>
    <t>645-663</t>
  </si>
  <si>
    <t>Map the remaining fields</t>
  </si>
  <si>
    <t xml:space="preserve">    MOVE SUBPGM-FACCNO    TO FACCNO2O.
    MOVE SUBPGM-FSCODE    TO FSORTCO.
    MOVE SUBPGM-TACCNO    TO TACCNO2O.
    MOVE SUBPGM-TSCODE    TO TSORTCO.
    MOVE SUBPGM-FACTBAL   TO FROM-ACTUAL-BALANCE-DISPLAY.
    MOVE SUBPGM-FAVBAL    TO FROM-AVAILABLE-BALANCE-DISPLAY.
    MOVE SUBPGM-TACTBAL   TO TO-ACTUAL-BALANCE-DISPLAY.
    MOVE SUBPGM-TAVBAL    TO TO-AVAILABLE-BALANCE-DISPLAY.
    MOVE FROM-ACTUAL-BALANCE-DISPLAY TO FACTBALO.
    MOVE FROM-AVAILABLE-BALANCE-DISPLAY TO FAVBALO.
    MOVE TO-ACTUAL-BALANCE-DISPLAY    TO TACTBALO.
    MOVE TO-AVAILABLE-BALANCE-DISPLAY TO TAVBALO.
GCD999.
    EXIT.
SEND-MAP SECTION.
SM010.</t>
  </si>
  <si>
    <t>BNK1TFN-030</t>
  </si>
  <si>
    <t>691</t>
  </si>
  <si>
    <t>693-740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</si>
  <si>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ERASE FAIL '
             TO WS-CICS-FAIL-MSG
          MOVE WS-CICS-RESP  TO WS-CICS-RESP-DISP
          MOVE WS-CICS-RESP2 TO WS-CICS-RESP2-DISP
          PERFORM ABEND-THIS-TASK
       END-IF
       GO TO SM999
    END-IF.</t>
  </si>
  <si>
    <t>BNK1TFN-033</t>
  </si>
  <si>
    <t>765</t>
  </si>
  <si>
    <t>767-814</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</si>
  <si>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DATAONLY FAIL '
             TO WS-CICS-FAIL-MSG
          MOVE WS-CICS-RESP  TO WS-CICS-RESP-DISP
          MOVE WS-CICS-RESP2 TO WS-CICS-RESP2-DISP
          PERFORM ABEND-THIS-TASK
       END-IF
       GO TO SM999
    END-IF.</t>
  </si>
  <si>
    <t>BNK1TFN-036</t>
  </si>
  <si>
    <t>840</t>
  </si>
  <si>
    <t>842-895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</si>
  <si>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DATAONLY ALARM FAIL '
             TO WS-CICS-FAIL-MSG
          MOVE WS-CICS-RESP  TO WS-CICS-RESP-DISP
          MOVE WS-CICS-RESP2 TO WS-CICS-RESP2-DISP
          PERFORM ABEND-THIS-TASK
       END-IF
    END-IF.
SM999.
    EXIT.
SEND-TERMINATION-MSG SECTION.
STM010.</t>
  </si>
  <si>
    <t>BNK1TFN-039</t>
  </si>
  <si>
    <t>918</t>
  </si>
  <si>
    <t>920-971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</si>
  <si>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 EIBRESP=' DELIMITED BY SIZE,
             ABND-RESPCODE DELIMITED BY SIZE,
             ' RESP2=' DELIMITED BY SIZE,
             ABND-RESP2CODE DELIMITED BY SIZE
             INTO ABND-FREEFORM
       END-STRING
       EXEC CICS LINK PROGRAM(WS-ABEND-PGM)
                 COMMAREA(ABNDINFO-REC)
       END-EXEC
       INITIALIZE WS-FAIL-INFO
       MOVE 'BNK1TFN - STM010 - SEND TEXT FAIL'
          TO WS-CICS-FAIL-MSG
       MOVE WS-CICS-RESP  TO WS-CICS-RESP-DISP
       MOVE WS-CICS-RESP2 TO WS-CICS-RESP2-DISP
       PERFORM ABEND-THIS-TASK
    END-IF.
STM999.
    EXIT.
ABEND-THIS-TASK SECTION.
ATT010.</t>
  </si>
  <si>
    <t>BNK1TFN-049</t>
  </si>
  <si>
    <t>1210</t>
  </si>
  <si>
    <t>1212-1224</t>
  </si>
  <si>
    <t>Fomate the date and time</t>
  </si>
  <si>
    <t xml:space="preserve">    EXEC CICS ASKTIME
       ABSTIME(WS-U-TIME)
    END-EXEC.
    EXEC CICS FORMATTIME
              ABSTIME(WS-U-TIME)
              DDMMYYYY(WS-ORIG-DATE)
              TIME(WS-TIME-NOW)
              DATESEP
    END-EXEC.
PTD999.
    EXIT.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</si>
</sst>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3.0"/>
      <color theme="1"/>
      <name val="Arial"/>
    </font>
    <font>
      <sz val="11.0"/>
      <color theme="1"/>
      <name val="Calibri"/>
    </font>
    <font>
      <b/>
      <sz val="10.0"/>
      <color theme="1"/>
      <name val="Arial"/>
    </font>
    <font>
      <sz val="10.0"/>
      <color theme="1"/>
      <name val="Arial"/>
    </font>
    <font>
      <b/>
      <sz val="10.0"/>
      <color rgb="FFFFFFFF"/>
      <name val="Arial"/>
    </font>
    <font>
      <sz val="9.0"/>
      <color theme="1"/>
      <name val="Courier New"/>
    </font>
    <font>
      <sz val="10.0"/>
      <color rgb="FF0000FF"/>
      <name val="Arial"/>
    </font>
    <font>
      <sz val="10.0"/>
      <color rgb="FF000000"/>
      <name val="Arial"/>
    </font>
  </fonts>
  <fills count="4">
    <fill>
      <patternFill patternType="none"/>
    </fill>
    <fill>
      <patternFill patternType="lightGray"/>
    </fill>
    <fill>
      <patternFill patternType="solid">
        <fgColor rgb="FF2F4F6F"/>
        <bgColor rgb="FF2F4F6F"/>
      </patternFill>
    </fill>
    <fill>
      <patternFill patternType="solid">
        <fgColor rgb="FFFFF9DB"/>
        <bgColor rgb="FFFFF9DB"/>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readingOrder="0" shrinkToFit="0" vertical="top" wrapText="1"/>
    </xf>
    <xf borderId="1" fillId="2" fontId="5" numFmtId="0" xfId="0" applyAlignment="1" applyBorder="1" applyFill="1" applyFont="1">
      <alignment shrinkToFit="0" vertical="center" wrapText="1"/>
    </xf>
    <xf borderId="0" fillId="0" fontId="4" numFmtId="0" xfId="0" applyFont="1"/>
    <xf borderId="0" fillId="0" fontId="3" numFmtId="0" xfId="0" applyFont="1"/>
    <xf borderId="0" fillId="0" fontId="4" numFmtId="0" xfId="0" applyAlignment="1" applyFont="1">
      <alignment shrinkToFit="0" vertical="center" wrapText="1"/>
    </xf>
    <xf borderId="0" fillId="0" fontId="6" numFmtId="0" xfId="0" applyAlignment="1" applyFont="1">
      <alignment shrinkToFit="0" vertical="top" wrapText="1"/>
    </xf>
    <xf borderId="1" fillId="3" fontId="7" numFmtId="0" xfId="0" applyAlignment="1" applyBorder="1" applyFill="1" applyFont="1">
      <alignment shrinkToFit="0" vertical="top" wrapText="1"/>
    </xf>
    <xf borderId="1" fillId="3" fontId="8" numFmtId="0" xfId="0" applyAlignment="1" applyBorder="1" applyFill="1" applyFont="1">
      <alignment shrinkToFit="0" vertical="top" wrapText="1"/>
    </xf>
    <xf borderId="1" fillId="3" fontId="4" numFmtId="0" xfId="0" applyAlignment="1" applyBorder="1" applyFill="1" applyFont="1">
      <alignment shrinkToFit="0" vertical="top" wrapText="1"/>
    </xf>
    <xf borderId="1" fillId="3" fontId="4" numFmtId="0" xfId="0" applyAlignment="1" applyBorder="1" applyFill="1" applyFont="1">
      <alignment readingOrder="0" shrinkToFit="0" vertical="top" wrapText="1"/>
    </xf>
    <xf borderId="1" fillId="3" fontId="8"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10.0"/>
    <col customWidth="1" min="3" max="6" width="8.71"/>
  </cols>
  <sheetData>
    <row r="1">
      <c r="A1" s="1" t="s">
        <v>0</v>
      </c>
      <c r="C1" s="2"/>
      <c r="D1" s="2"/>
      <c r="E1" s="2"/>
      <c r="F1" s="2"/>
      <c r="G1" s="2"/>
      <c r="H1" s="2"/>
      <c r="I1" s="2"/>
      <c r="J1" s="2"/>
      <c r="K1" s="2"/>
      <c r="L1" s="2"/>
      <c r="M1" s="2"/>
      <c r="N1" s="2"/>
      <c r="O1" s="2"/>
      <c r="P1" s="2"/>
      <c r="Q1" s="2"/>
      <c r="R1" s="2"/>
      <c r="S1" s="2"/>
      <c r="T1" s="2"/>
      <c r="U1" s="2"/>
      <c r="V1" s="2"/>
      <c r="W1" s="2"/>
      <c r="X1" s="2"/>
      <c r="Y1" s="2"/>
      <c r="Z1" s="2"/>
    </row>
    <row r="2">
      <c r="A2" s="3"/>
      <c r="B2" s="2"/>
      <c r="C2" s="2"/>
      <c r="D2" s="2"/>
      <c r="E2" s="2"/>
      <c r="F2" s="2"/>
      <c r="G2" s="2"/>
      <c r="H2" s="2"/>
      <c r="I2" s="2"/>
      <c r="J2" s="2"/>
      <c r="K2" s="2"/>
      <c r="L2" s="2"/>
      <c r="M2" s="2"/>
      <c r="N2" s="2"/>
      <c r="O2" s="2"/>
      <c r="P2" s="2"/>
      <c r="Q2" s="2"/>
      <c r="R2" s="2"/>
      <c r="S2" s="2"/>
      <c r="T2" s="2"/>
      <c r="U2" s="2"/>
      <c r="V2" s="2"/>
      <c r="W2" s="2"/>
      <c r="X2" s="2"/>
      <c r="Y2" s="2"/>
      <c r="Z2" s="2"/>
    </row>
    <row r="3">
      <c r="A3" s="3" t="s">
        <v>1</v>
      </c>
      <c r="B3" s="4" t="s">
        <v>2</v>
      </c>
      <c r="C3" s="2"/>
      <c r="D3" s="2"/>
      <c r="E3" s="2"/>
      <c r="F3" s="2"/>
      <c r="G3" s="2"/>
      <c r="H3" s="2"/>
      <c r="I3" s="2"/>
      <c r="J3" s="2"/>
      <c r="K3" s="2"/>
      <c r="L3" s="2"/>
      <c r="M3" s="2"/>
      <c r="N3" s="2"/>
      <c r="O3" s="2"/>
      <c r="P3" s="2"/>
      <c r="Q3" s="2"/>
      <c r="R3" s="2"/>
      <c r="S3" s="2"/>
      <c r="T3" s="2"/>
      <c r="U3" s="2"/>
      <c r="V3" s="2"/>
      <c r="W3" s="2"/>
      <c r="X3" s="2"/>
      <c r="Y3" s="2"/>
      <c r="Z3" s="2"/>
    </row>
    <row r="4">
      <c r="A4" s="3" t="s">
        <v>3</v>
      </c>
      <c r="B4" s="4" t="s">
        <v>4</v>
      </c>
      <c r="C4" s="2"/>
      <c r="D4" s="2"/>
      <c r="E4" s="2"/>
      <c r="F4" s="2"/>
      <c r="G4" s="2"/>
      <c r="H4" s="2"/>
      <c r="I4" s="2"/>
      <c r="J4" s="2"/>
      <c r="K4" s="2"/>
      <c r="L4" s="2"/>
      <c r="M4" s="2"/>
      <c r="N4" s="2"/>
      <c r="O4" s="2"/>
      <c r="P4" s="2"/>
      <c r="Q4" s="2"/>
      <c r="R4" s="2"/>
      <c r="S4" s="2"/>
      <c r="T4" s="2"/>
      <c r="U4" s="2"/>
      <c r="V4" s="2"/>
      <c r="W4" s="2"/>
      <c r="X4" s="2"/>
      <c r="Y4" s="2"/>
      <c r="Z4" s="2"/>
    </row>
    <row r="5">
      <c r="A5" s="3" t="s">
        <v>5</v>
      </c>
      <c r="B5" s="4" t="s">
        <v>6</v>
      </c>
      <c r="C5" s="2"/>
      <c r="D5" s="2"/>
      <c r="E5" s="2"/>
      <c r="F5" s="2"/>
      <c r="G5" s="2"/>
      <c r="H5" s="2"/>
      <c r="I5" s="2"/>
      <c r="J5" s="2"/>
      <c r="K5" s="2"/>
      <c r="L5" s="2"/>
      <c r="M5" s="2"/>
      <c r="N5" s="2"/>
      <c r="O5" s="2"/>
      <c r="P5" s="2"/>
      <c r="Q5" s="2"/>
      <c r="R5" s="2"/>
      <c r="S5" s="2"/>
      <c r="T5" s="2"/>
      <c r="U5" s="2"/>
      <c r="V5" s="2"/>
      <c r="W5" s="2"/>
      <c r="X5" s="2"/>
      <c r="Y5" s="2"/>
      <c r="Z5" s="2"/>
    </row>
    <row r="6">
      <c r="A6" s="3" t="s">
        <v>7</v>
      </c>
      <c r="B6" s="4" t="s">
        <v>8</v>
      </c>
      <c r="C6" s="2"/>
      <c r="D6" s="2"/>
      <c r="E6" s="2"/>
      <c r="F6" s="2"/>
      <c r="G6" s="2"/>
      <c r="H6" s="2"/>
      <c r="I6" s="2"/>
      <c r="J6" s="2"/>
      <c r="K6" s="2"/>
      <c r="L6" s="2"/>
      <c r="M6" s="2"/>
      <c r="N6" s="2"/>
      <c r="O6" s="2"/>
      <c r="P6" s="2"/>
      <c r="Q6" s="2"/>
      <c r="R6" s="2"/>
      <c r="S6" s="2"/>
      <c r="T6" s="2"/>
      <c r="U6" s="2"/>
      <c r="V6" s="2"/>
      <c r="W6" s="2"/>
      <c r="X6" s="2"/>
      <c r="Y6" s="2"/>
      <c r="Z6" s="2"/>
    </row>
    <row r="7">
      <c r="A7" s="3" t="s">
        <v>9</v>
      </c>
      <c r="B7" s="4" t="s">
        <v>10</v>
      </c>
      <c r="C7" s="2"/>
      <c r="D7" s="2"/>
      <c r="E7" s="2"/>
      <c r="F7" s="2"/>
      <c r="G7" s="2"/>
      <c r="H7" s="2"/>
      <c r="I7" s="2"/>
      <c r="J7" s="2"/>
      <c r="K7" s="2"/>
      <c r="L7" s="2"/>
      <c r="M7" s="2"/>
      <c r="N7" s="2"/>
      <c r="O7" s="2"/>
      <c r="P7" s="2"/>
      <c r="Q7" s="2"/>
      <c r="R7" s="2"/>
      <c r="S7" s="2"/>
      <c r="T7" s="2"/>
      <c r="U7" s="2"/>
      <c r="V7" s="2"/>
      <c r="W7" s="2"/>
      <c r="X7" s="2"/>
      <c r="Y7" s="2"/>
      <c r="Z7" s="2"/>
    </row>
    <row r="8">
      <c r="A8" s="3" t="s">
        <v>11</v>
      </c>
      <c r="B8" s="5" t="s">
        <v>12</v>
      </c>
      <c r="C8" s="2"/>
      <c r="D8" s="2"/>
      <c r="E8" s="2"/>
      <c r="F8" s="2"/>
      <c r="G8" s="2"/>
      <c r="H8" s="2"/>
      <c r="I8" s="2"/>
      <c r="J8" s="2"/>
      <c r="K8" s="2"/>
      <c r="L8" s="2"/>
      <c r="M8" s="2"/>
      <c r="N8" s="2"/>
      <c r="O8" s="2"/>
      <c r="P8" s="2"/>
      <c r="Q8" s="2"/>
      <c r="R8" s="2"/>
      <c r="S8" s="2"/>
      <c r="T8" s="2"/>
      <c r="U8" s="2"/>
      <c r="V8" s="2"/>
      <c r="W8" s="2"/>
      <c r="X8" s="2"/>
      <c r="Y8" s="2"/>
      <c r="Z8" s="2"/>
    </row>
    <row r="9">
      <c r="A9" s="3" t="s">
        <v>13</v>
      </c>
      <c r="B9" s="4" t="s">
        <v>14</v>
      </c>
      <c r="C9" s="2"/>
      <c r="D9" s="2"/>
      <c r="E9" s="2"/>
      <c r="F9" s="2"/>
      <c r="G9" s="2"/>
      <c r="H9" s="2"/>
      <c r="I9" s="2"/>
      <c r="J9" s="2"/>
      <c r="K9" s="2"/>
      <c r="L9" s="2"/>
      <c r="M9" s="2"/>
      <c r="N9" s="2"/>
      <c r="O9" s="2"/>
      <c r="P9" s="2"/>
      <c r="Q9" s="2"/>
      <c r="R9" s="2"/>
      <c r="S9" s="2"/>
      <c r="T9" s="2"/>
      <c r="U9" s="2"/>
      <c r="V9" s="2"/>
      <c r="W9" s="2"/>
      <c r="X9" s="2"/>
      <c r="Y9" s="2"/>
      <c r="Z9" s="2"/>
    </row>
    <row r="10">
      <c r="A10" s="3" t="s">
        <v>15</v>
      </c>
      <c r="B10" s="4" t="s">
        <v>16</v>
      </c>
      <c r="C10" s="2"/>
      <c r="D10" s="2"/>
      <c r="E10" s="2"/>
      <c r="F10" s="2"/>
      <c r="G10" s="2"/>
      <c r="H10" s="2"/>
      <c r="I10" s="2"/>
      <c r="J10" s="2"/>
      <c r="K10" s="2"/>
      <c r="L10" s="2"/>
      <c r="M10" s="2"/>
      <c r="N10" s="2"/>
      <c r="O10" s="2"/>
      <c r="P10" s="2"/>
      <c r="Q10" s="2"/>
      <c r="R10" s="2"/>
      <c r="S10" s="2"/>
      <c r="T10" s="2"/>
      <c r="U10" s="2"/>
      <c r="V10" s="2"/>
      <c r="W10" s="2"/>
      <c r="X10" s="2"/>
      <c r="Y10" s="2"/>
      <c r="Z10" s="2"/>
    </row>
    <row r="11">
      <c r="A11" s="3"/>
      <c r="B11" s="2"/>
      <c r="C11" s="2"/>
      <c r="D11" s="2"/>
      <c r="E11" s="2"/>
      <c r="F11" s="2"/>
      <c r="G11" s="2"/>
      <c r="H11" s="2"/>
      <c r="I11" s="2"/>
      <c r="J11" s="2"/>
      <c r="K11" s="2"/>
      <c r="L11" s="2"/>
      <c r="M11" s="2"/>
      <c r="N11" s="2"/>
      <c r="O11" s="2"/>
      <c r="P11" s="2"/>
      <c r="Q11" s="2"/>
      <c r="R11" s="2"/>
      <c r="S11" s="2"/>
      <c r="T11" s="2"/>
      <c r="U11" s="2"/>
      <c r="V11" s="2"/>
      <c r="W11" s="2"/>
      <c r="X11" s="2"/>
      <c r="Y11" s="2"/>
      <c r="Z11" s="2"/>
    </row>
    <row r="12">
      <c r="A12" s="3" t="s">
        <v>17</v>
      </c>
      <c r="B12" s="4" t="s">
        <v>18</v>
      </c>
      <c r="C12" s="2"/>
      <c r="D12" s="2"/>
      <c r="E12" s="2"/>
      <c r="F12" s="2"/>
      <c r="G12" s="2"/>
      <c r="H12" s="2"/>
      <c r="I12" s="2"/>
      <c r="J12" s="2"/>
      <c r="K12" s="2"/>
      <c r="L12" s="2"/>
      <c r="M12" s="2"/>
      <c r="N12" s="2"/>
      <c r="O12" s="2"/>
      <c r="P12" s="2"/>
      <c r="Q12" s="2"/>
      <c r="R12" s="2"/>
      <c r="S12" s="2"/>
      <c r="T12" s="2"/>
      <c r="U12" s="2"/>
      <c r="V12" s="2"/>
      <c r="W12" s="2"/>
      <c r="X12" s="2"/>
      <c r="Y12" s="2"/>
      <c r="Z12" s="2"/>
    </row>
    <row r="13">
      <c r="A13" s="3" t="s">
        <v>19</v>
      </c>
      <c r="B13" s="4" t="s">
        <v>20</v>
      </c>
      <c r="C13" s="2"/>
      <c r="D13" s="2"/>
      <c r="E13" s="2"/>
      <c r="F13" s="2"/>
      <c r="G13" s="2"/>
      <c r="H13" s="2"/>
      <c r="I13" s="2"/>
      <c r="J13" s="2"/>
      <c r="K13" s="2"/>
      <c r="L13" s="2"/>
      <c r="M13" s="2"/>
      <c r="N13" s="2"/>
      <c r="O13" s="2"/>
      <c r="P13" s="2"/>
      <c r="Q13" s="2"/>
      <c r="R13" s="2"/>
      <c r="S13" s="2"/>
      <c r="T13" s="2"/>
      <c r="U13" s="2"/>
      <c r="V13" s="2"/>
      <c r="W13" s="2"/>
      <c r="X13" s="2"/>
      <c r="Y13" s="2"/>
      <c r="Z13" s="2"/>
    </row>
    <row r="14">
      <c r="A14" s="3" t="s">
        <v>21</v>
      </c>
      <c r="B14" s="4" t="s">
        <v>22</v>
      </c>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B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86"/>
    <col customWidth="1" min="2" max="2" width="13.14"/>
    <col customWidth="1" min="3" max="3" width="14.0"/>
    <col customWidth="1" min="4" max="4" width="14.14"/>
    <col customWidth="1" min="5" max="6" width="10.0"/>
    <col customWidth="1" min="7" max="7" width="12.0"/>
    <col customWidth="1" min="8" max="8" width="11.0"/>
    <col customWidth="1" min="9" max="9" width="13.0"/>
    <col customWidth="1" min="10" max="10" width="16.0"/>
    <col customWidth="1" min="11" max="13" width="11.0"/>
    <col customWidth="1" min="14" max="14" width="13.0"/>
    <col customWidth="1" min="15" max="15" width="14.0"/>
  </cols>
  <sheetData>
    <row r="1" ht="45.0" customHeight="1">
      <c r="A1" s="6" t="s">
        <v>23</v>
      </c>
      <c r="B1" s="6" t="s">
        <v>24</v>
      </c>
      <c r="C1" s="6" t="s">
        <v>25</v>
      </c>
      <c r="D1" s="6" t="s">
        <v>26</v>
      </c>
      <c r="E1" s="6" t="s">
        <v>27</v>
      </c>
      <c r="F1" s="6" t="s">
        <v>28</v>
      </c>
      <c r="G1" s="6" t="s">
        <v>29</v>
      </c>
      <c r="H1" s="6" t="s">
        <v>30</v>
      </c>
      <c r="I1" s="6" t="s">
        <v>31</v>
      </c>
      <c r="J1" s="6" t="s">
        <v>32</v>
      </c>
      <c r="K1" s="6" t="s">
        <v>33</v>
      </c>
      <c r="L1" s="6" t="s">
        <v>34</v>
      </c>
      <c r="M1" s="6" t="s">
        <v>35</v>
      </c>
      <c r="N1" s="6" t="s">
        <v>36</v>
      </c>
      <c r="O1" s="6" t="s">
        <v>37</v>
      </c>
      <c r="P1" s="2"/>
      <c r="Q1" s="2"/>
      <c r="R1" s="2"/>
      <c r="S1" s="2"/>
      <c r="T1" s="2"/>
      <c r="U1" s="2"/>
      <c r="V1" s="2"/>
      <c r="W1" s="2"/>
      <c r="X1" s="2"/>
      <c r="Y1" s="2"/>
      <c r="Z1" s="2"/>
    </row>
    <row r="2">
      <c r="A2" s="7" t="s">
        <v>38</v>
      </c>
      <c r="B2" s="7">
        <f t="shared" ref="B2:B5" si="1">C2+D2</f>
        <v>33</v>
      </c>
      <c r="C2" s="7">
        <f>COUNTIF(Candidatos!$B:$B,$A2)</f>
        <v>23</v>
      </c>
      <c r="D2" s="7">
        <f>COUNTIFS(Descartados!$B:$B,$A2,Descartados!$I:$I,"&lt;&gt;Reincluir")</f>
        <v>10</v>
      </c>
      <c r="E2" s="7">
        <f>COUNTIFS(Candidatos!$B:$B,$A2,Candidatos!$G:$G,"Decisão")</f>
        <v>8</v>
      </c>
      <c r="F2" s="7">
        <f>COUNTIFS(Candidatos!$B:$B,$A2,Candidatos!$G:$G,"Falha")</f>
        <v>5</v>
      </c>
      <c r="G2" s="7">
        <f>COUNTIFS(Candidatos!$B:$B,$A2,Candidatos!$G:$G,"Decisão e falha")</f>
        <v>8</v>
      </c>
      <c r="H2" s="7">
        <f>COUNTIFS(Candidatos!$B:$B,$A2,Candidatos!$I:$I,"&lt;&gt;")</f>
        <v>7</v>
      </c>
      <c r="I2" s="7">
        <f>COUNTIFS(Candidatos!$B:$B,$A2,Candidatos!$K:$K,"regra de negócio")</f>
        <v>9</v>
      </c>
      <c r="J2" s="7">
        <f>COUNTIFS(Candidatos!$B:$B,$A2,Candidatos!$K:$K,"infraestrutura (excluída)")</f>
        <v>13</v>
      </c>
      <c r="K2" s="7">
        <f>COUNTIFS(Candidatos!$B:$B,$A2,Candidatos!$K:$K,"a discutir")</f>
        <v>1</v>
      </c>
      <c r="L2" s="7">
        <f>COUNTIFS(Candidatos!$B:$B,$A2,Candidatos!$L:$L,"Validado")</f>
        <v>22</v>
      </c>
      <c r="M2" s="7">
        <f t="shared" ref="M2:M5" si="2">C2-L2</f>
        <v>1</v>
      </c>
      <c r="N2" s="7">
        <f>COUNTIFS(Candidatos!$B:$B,$A2,Candidatos!$P:$P,"Sim")+COUNTIFS(Candidatos!$B:$B,$A2,Candidatos!$P:$P,"Não")</f>
        <v>6</v>
      </c>
      <c r="O2" s="7">
        <f>COUNTIFS(Candidatos!$B:$B,$A2,Candidatos!$P:$P,"Sim")+COUNTIFS(Candidatos!$B:$B,$A2,Candidatos!$P:$P,"Incompleto")</f>
        <v>6</v>
      </c>
      <c r="P2" s="2"/>
      <c r="Q2" s="2"/>
      <c r="R2" s="2"/>
      <c r="S2" s="2"/>
      <c r="T2" s="2"/>
      <c r="U2" s="2"/>
      <c r="V2" s="2"/>
      <c r="W2" s="2"/>
      <c r="X2" s="2"/>
      <c r="Y2" s="2"/>
      <c r="Z2" s="2"/>
    </row>
    <row r="3">
      <c r="A3" s="7" t="s">
        <v>39</v>
      </c>
      <c r="B3" s="7">
        <f t="shared" si="1"/>
        <v>70</v>
      </c>
      <c r="C3" s="7">
        <f>COUNTIF(Candidatos!$B:$B,$A3)</f>
        <v>57</v>
      </c>
      <c r="D3" s="7">
        <f>COUNTIFS(Descartados!$B:$B,$A3,Descartados!$I:$I,"&lt;&gt;Reincluir")</f>
        <v>13</v>
      </c>
      <c r="E3" s="7">
        <f>COUNTIFS(Candidatos!$B:$B,$A3,Candidatos!$G:$G,"Decisão")</f>
        <v>11</v>
      </c>
      <c r="F3" s="7">
        <f>COUNTIFS(Candidatos!$B:$B,$A3,Candidatos!$G:$G,"Falha")</f>
        <v>23</v>
      </c>
      <c r="G3" s="7">
        <f>COUNTIFS(Candidatos!$B:$B,$A3,Candidatos!$G:$G,"Decisão e falha")</f>
        <v>20</v>
      </c>
      <c r="H3" s="7">
        <f>COUNTIFS(Candidatos!$B:$B,$A3,Candidatos!$I:$I,"&lt;&gt;")</f>
        <v>20</v>
      </c>
      <c r="I3" s="7">
        <f>COUNTIFS(Candidatos!$B:$B,$A3,Candidatos!$K:$K,"regra de negócio")</f>
        <v>8</v>
      </c>
      <c r="J3" s="7">
        <f>COUNTIFS(Candidatos!$B:$B,$A3,Candidatos!$K:$K,"infraestrutura (excluída)")</f>
        <v>44</v>
      </c>
      <c r="K3" s="7">
        <f>COUNTIFS(Candidatos!$B:$B,$A3,Candidatos!$K:$K,"a discutir")</f>
        <v>5</v>
      </c>
      <c r="L3" s="7">
        <f>COUNTIFS(Candidatos!$B:$B,$A3,Candidatos!$L:$L,"Validado")</f>
        <v>52</v>
      </c>
      <c r="M3" s="7">
        <f t="shared" si="2"/>
        <v>5</v>
      </c>
      <c r="N3" s="7">
        <f>COUNTIFS(Candidatos!$B:$B,$A3,Candidatos!$P:$P,"Sim")+COUNTIFS(Candidatos!$B:$B,$A3,Candidatos!$P:$P,"Não")</f>
        <v>8</v>
      </c>
      <c r="O3" s="7">
        <f>COUNTIFS(Candidatos!$B:$B,$A3,Candidatos!$P:$P,"Sim")+COUNTIFS(Candidatos!$B:$B,$A3,Candidatos!$P:$P,"Incompleto")</f>
        <v>1</v>
      </c>
      <c r="P3" s="2"/>
      <c r="Q3" s="2"/>
      <c r="R3" s="2"/>
      <c r="S3" s="2"/>
      <c r="T3" s="2"/>
      <c r="U3" s="2"/>
      <c r="V3" s="2"/>
      <c r="W3" s="2"/>
      <c r="X3" s="2"/>
      <c r="Y3" s="2"/>
      <c r="Z3" s="2"/>
    </row>
    <row r="4">
      <c r="A4" s="7" t="s">
        <v>40</v>
      </c>
      <c r="B4" s="7">
        <f t="shared" si="1"/>
        <v>43</v>
      </c>
      <c r="C4" s="7">
        <f>COUNTIF(Candidatos!$B:$B,$A4)</f>
        <v>31</v>
      </c>
      <c r="D4" s="7">
        <f>COUNTIFS(Descartados!$B:$B,$A4,Descartados!$I:$I,"&lt;&gt;Reincluir")</f>
        <v>12</v>
      </c>
      <c r="E4" s="7">
        <f>COUNTIFS(Candidatos!$B:$B,$A4,Candidatos!$G:$G,"Decisão")</f>
        <v>16</v>
      </c>
      <c r="F4" s="7">
        <f>COUNTIFS(Candidatos!$B:$B,$A4,Candidatos!$G:$G,"Falha")</f>
        <v>7</v>
      </c>
      <c r="G4" s="7">
        <f>COUNTIFS(Candidatos!$B:$B,$A4,Candidatos!$G:$G,"Decisão e falha")</f>
        <v>8</v>
      </c>
      <c r="H4" s="7">
        <f>COUNTIFS(Candidatos!$B:$B,$A4,Candidatos!$I:$I,"&lt;&gt;")</f>
        <v>8</v>
      </c>
      <c r="I4" s="7">
        <f>COUNTIFS(Candidatos!$B:$B,$A4,Candidatos!$K:$K,"regra de negócio")</f>
        <v>9</v>
      </c>
      <c r="J4" s="7">
        <f>COUNTIFS(Candidatos!$B:$B,$A4,Candidatos!$K:$K,"infraestrutura (excluída)")</f>
        <v>15</v>
      </c>
      <c r="K4" s="7">
        <f>COUNTIFS(Candidatos!$B:$B,$A4,Candidatos!$K:$K,"a discutir")</f>
        <v>7</v>
      </c>
      <c r="L4" s="7">
        <f>COUNTIFS(Candidatos!$B:$B,$A4,Candidatos!$L:$L,"Validado")</f>
        <v>24</v>
      </c>
      <c r="M4" s="7">
        <f t="shared" si="2"/>
        <v>7</v>
      </c>
      <c r="N4" s="7">
        <f>COUNTIFS(Candidatos!$B:$B,$A4,Candidatos!$P:$P,"Sim")+COUNTIFS(Candidatos!$B:$B,$A4,Candidatos!$P:$P,"Não")</f>
        <v>9</v>
      </c>
      <c r="O4" s="7">
        <f>COUNTIFS(Candidatos!$B:$B,$A4,Candidatos!$P:$P,"Sim")+COUNTIFS(Candidatos!$B:$B,$A4,Candidatos!$P:$P,"Incompleto")</f>
        <v>1</v>
      </c>
      <c r="P4" s="2"/>
      <c r="Q4" s="2"/>
      <c r="R4" s="2"/>
      <c r="S4" s="2"/>
      <c r="T4" s="2"/>
      <c r="U4" s="2"/>
      <c r="V4" s="2"/>
      <c r="W4" s="2"/>
      <c r="X4" s="2"/>
      <c r="Y4" s="2"/>
      <c r="Z4" s="2"/>
    </row>
    <row r="5">
      <c r="A5" s="7" t="s">
        <v>41</v>
      </c>
      <c r="B5" s="7">
        <f t="shared" si="1"/>
        <v>49</v>
      </c>
      <c r="C5" s="7">
        <f>COUNTIF(Candidatos!$B:$B,$A5)</f>
        <v>33</v>
      </c>
      <c r="D5" s="7">
        <f>COUNTIFS(Descartados!$B:$B,$A5,Descartados!$I:$I,"&lt;&gt;Reincluir")</f>
        <v>16</v>
      </c>
      <c r="E5" s="7">
        <f>COUNTIFS(Candidatos!$B:$B,$A5,Candidatos!$G:$G,"Decisão")</f>
        <v>18</v>
      </c>
      <c r="F5" s="7">
        <f>COUNTIFS(Candidatos!$B:$B,$A5,Candidatos!$G:$G,"Falha")</f>
        <v>8</v>
      </c>
      <c r="G5" s="7">
        <f>COUNTIFS(Candidatos!$B:$B,$A5,Candidatos!$G:$G,"Decisão e falha")</f>
        <v>7</v>
      </c>
      <c r="H5" s="7">
        <f>COUNTIFS(Candidatos!$B:$B,$A5,Candidatos!$I:$I,"&lt;&gt;")</f>
        <v>12</v>
      </c>
      <c r="I5" s="7">
        <f>COUNTIFS(Candidatos!$B:$B,$A5,Candidatos!$K:$K,"regra de negócio")</f>
        <v>11</v>
      </c>
      <c r="J5" s="7">
        <f>COUNTIFS(Candidatos!$B:$B,$A5,Candidatos!$K:$K,"infraestrutura (excluída)")</f>
        <v>15</v>
      </c>
      <c r="K5" s="7">
        <f>COUNTIFS(Candidatos!$B:$B,$A5,Candidatos!$K:$K,"a discutir")</f>
        <v>7</v>
      </c>
      <c r="L5" s="7">
        <f>COUNTIFS(Candidatos!$B:$B,$A5,Candidatos!$L:$L,"Validado")</f>
        <v>26</v>
      </c>
      <c r="M5" s="7">
        <f t="shared" si="2"/>
        <v>7</v>
      </c>
      <c r="N5" s="7">
        <f>COUNTIFS(Candidatos!$B:$B,$A5,Candidatos!$P:$P,"Sim")+COUNTIFS(Candidatos!$B:$B,$A5,Candidatos!$P:$P,"Não")</f>
        <v>8</v>
      </c>
      <c r="O5" s="7">
        <f>COUNTIFS(Candidatos!$B:$B,$A5,Candidatos!$P:$P,"Sim")+COUNTIFS(Candidatos!$B:$B,$A5,Candidatos!$P:$P,"Incompleto")</f>
        <v>4</v>
      </c>
      <c r="P5" s="2"/>
      <c r="Q5" s="2"/>
      <c r="R5" s="2"/>
      <c r="S5" s="2"/>
      <c r="T5" s="2"/>
      <c r="U5" s="2"/>
      <c r="V5" s="2"/>
      <c r="W5" s="2"/>
      <c r="X5" s="2"/>
      <c r="Y5" s="2"/>
      <c r="Z5" s="2"/>
    </row>
    <row r="6">
      <c r="A6" s="8" t="s">
        <v>42</v>
      </c>
      <c r="B6" s="8">
        <f t="shared" ref="B6:O6" si="3">SUM(B2:B5)</f>
        <v>195</v>
      </c>
      <c r="C6" s="8">
        <f t="shared" si="3"/>
        <v>144</v>
      </c>
      <c r="D6" s="8">
        <f t="shared" si="3"/>
        <v>51</v>
      </c>
      <c r="E6" s="8">
        <f t="shared" si="3"/>
        <v>53</v>
      </c>
      <c r="F6" s="8">
        <f t="shared" si="3"/>
        <v>43</v>
      </c>
      <c r="G6" s="8">
        <f t="shared" si="3"/>
        <v>43</v>
      </c>
      <c r="H6" s="8">
        <f t="shared" si="3"/>
        <v>47</v>
      </c>
      <c r="I6" s="8">
        <f t="shared" si="3"/>
        <v>37</v>
      </c>
      <c r="J6" s="8">
        <f t="shared" si="3"/>
        <v>87</v>
      </c>
      <c r="K6" s="8">
        <f t="shared" si="3"/>
        <v>20</v>
      </c>
      <c r="L6" s="8">
        <f t="shared" si="3"/>
        <v>124</v>
      </c>
      <c r="M6" s="8">
        <f t="shared" si="3"/>
        <v>20</v>
      </c>
      <c r="N6" s="8">
        <f t="shared" si="3"/>
        <v>31</v>
      </c>
      <c r="O6" s="8">
        <f t="shared" si="3"/>
        <v>12</v>
      </c>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9" t="s">
        <v>43</v>
      </c>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7.29"/>
    <col customWidth="1" min="2" max="2" width="15.43"/>
    <col customWidth="1" min="3" max="4" width="11.0"/>
    <col customWidth="1" min="5" max="5" width="60.0"/>
    <col customWidth="1" min="6" max="6" width="72.0"/>
    <col customWidth="1" min="7" max="8" width="15.0"/>
    <col customWidth="1" min="9" max="9" width="24.0"/>
    <col customWidth="1" min="10" max="10" width="50.0"/>
    <col customWidth="1" min="11" max="11" width="20.0"/>
    <col customWidth="1" min="12" max="12" width="12.0"/>
    <col customWidth="1" min="13" max="13" width="32.86"/>
    <col customWidth="1" min="14" max="14" width="15.0"/>
    <col customWidth="1" min="15" max="15" width="17.86"/>
    <col customWidth="1" min="16" max="16" width="20.0"/>
  </cols>
  <sheetData>
    <row r="1" ht="60.75" customHeight="1">
      <c r="A1" s="6" t="s">
        <v>44</v>
      </c>
      <c r="B1" s="6" t="s">
        <v>23</v>
      </c>
      <c r="C1" s="6" t="s">
        <v>45</v>
      </c>
      <c r="D1" s="6" t="s">
        <v>46</v>
      </c>
      <c r="E1" s="6" t="s">
        <v>47</v>
      </c>
      <c r="F1" s="6" t="s">
        <v>48</v>
      </c>
      <c r="G1" s="6" t="s">
        <v>49</v>
      </c>
      <c r="H1" s="6" t="s">
        <v>50</v>
      </c>
      <c r="I1" s="6" t="s">
        <v>13</v>
      </c>
      <c r="J1" s="6" t="s">
        <v>51</v>
      </c>
      <c r="K1" s="6" t="s">
        <v>52</v>
      </c>
      <c r="L1" s="6" t="s">
        <v>53</v>
      </c>
      <c r="M1" s="6" t="s">
        <v>54</v>
      </c>
      <c r="N1" s="6" t="s">
        <v>55</v>
      </c>
      <c r="O1" s="6" t="s">
        <v>56</v>
      </c>
      <c r="P1" s="6" t="s">
        <v>57</v>
      </c>
      <c r="Q1" s="2"/>
      <c r="R1" s="2"/>
      <c r="S1" s="2"/>
      <c r="T1" s="2"/>
      <c r="U1" s="2"/>
      <c r="V1" s="2"/>
      <c r="W1" s="2"/>
      <c r="X1" s="2"/>
      <c r="Y1" s="2"/>
      <c r="Z1" s="2"/>
    </row>
    <row r="2" hidden="1">
      <c r="A2" s="4" t="s">
        <v>58</v>
      </c>
      <c r="B2" s="4" t="s">
        <v>38</v>
      </c>
      <c r="C2" s="4" t="s">
        <v>59</v>
      </c>
      <c r="D2" s="4" t="s">
        <v>60</v>
      </c>
      <c r="E2" s="4" t="s">
        <v>61</v>
      </c>
      <c r="F2" s="10" t="s">
        <v>62</v>
      </c>
      <c r="G2" s="4" t="s">
        <v>28</v>
      </c>
      <c r="H2" s="4" t="s">
        <v>63</v>
      </c>
      <c r="I2" s="4"/>
      <c r="J2" s="11"/>
      <c r="K2" s="12" t="s">
        <v>64</v>
      </c>
      <c r="L2" s="13" t="s">
        <v>65</v>
      </c>
      <c r="M2" s="12" t="s">
        <v>66</v>
      </c>
      <c r="N2" s="4">
        <v>0.0</v>
      </c>
      <c r="O2" s="13"/>
      <c r="P2" s="13"/>
      <c r="Q2" s="2"/>
      <c r="R2" s="2"/>
      <c r="S2" s="2"/>
      <c r="T2" s="2"/>
      <c r="U2" s="2"/>
      <c r="V2" s="2"/>
      <c r="W2" s="2"/>
      <c r="X2" s="2"/>
      <c r="Y2" s="2"/>
      <c r="Z2" s="2"/>
    </row>
    <row r="3" hidden="1">
      <c r="A3" s="4" t="s">
        <v>67</v>
      </c>
      <c r="B3" s="4" t="s">
        <v>38</v>
      </c>
      <c r="C3" s="4" t="s">
        <v>68</v>
      </c>
      <c r="D3" s="4" t="s">
        <v>69</v>
      </c>
      <c r="E3" s="4" t="s">
        <v>70</v>
      </c>
      <c r="F3" s="10" t="s">
        <v>71</v>
      </c>
      <c r="G3" s="4" t="s">
        <v>29</v>
      </c>
      <c r="H3" s="4" t="s">
        <v>72</v>
      </c>
      <c r="I3" s="4"/>
      <c r="J3" s="12" t="s">
        <v>73</v>
      </c>
      <c r="K3" s="12" t="s">
        <v>74</v>
      </c>
      <c r="L3" s="13" t="s">
        <v>65</v>
      </c>
      <c r="M3" s="12" t="s">
        <v>75</v>
      </c>
      <c r="N3" s="4">
        <v>2.0</v>
      </c>
      <c r="O3" s="13"/>
      <c r="P3" s="14" t="s">
        <v>76</v>
      </c>
      <c r="Q3" s="2"/>
      <c r="R3" s="2"/>
      <c r="S3" s="2"/>
      <c r="T3" s="2"/>
      <c r="U3" s="2"/>
      <c r="V3" s="2"/>
      <c r="W3" s="2"/>
      <c r="X3" s="2"/>
      <c r="Y3" s="2"/>
      <c r="Z3" s="2"/>
    </row>
    <row r="4" hidden="1">
      <c r="A4" s="4" t="s">
        <v>77</v>
      </c>
      <c r="B4" s="4" t="s">
        <v>38</v>
      </c>
      <c r="C4" s="4" t="s">
        <v>78</v>
      </c>
      <c r="D4" s="4" t="s">
        <v>79</v>
      </c>
      <c r="E4" s="4" t="s">
        <v>80</v>
      </c>
      <c r="F4" s="10" t="s">
        <v>81</v>
      </c>
      <c r="G4" s="4" t="s">
        <v>27</v>
      </c>
      <c r="H4" s="4" t="s">
        <v>82</v>
      </c>
      <c r="I4" s="4"/>
      <c r="J4" s="12" t="s">
        <v>83</v>
      </c>
      <c r="K4" s="12" t="s">
        <v>74</v>
      </c>
      <c r="L4" s="13" t="s">
        <v>65</v>
      </c>
      <c r="M4" s="12" t="s">
        <v>84</v>
      </c>
      <c r="N4" s="4">
        <v>1.0</v>
      </c>
      <c r="O4" s="13"/>
      <c r="P4" s="14" t="s">
        <v>76</v>
      </c>
      <c r="Q4" s="2"/>
      <c r="R4" s="2"/>
      <c r="S4" s="2"/>
      <c r="T4" s="2"/>
      <c r="U4" s="2"/>
      <c r="V4" s="2"/>
      <c r="W4" s="2"/>
      <c r="X4" s="2"/>
      <c r="Y4" s="2"/>
      <c r="Z4" s="2"/>
    </row>
    <row r="5" hidden="1">
      <c r="A5" s="4" t="s">
        <v>85</v>
      </c>
      <c r="B5" s="4" t="s">
        <v>38</v>
      </c>
      <c r="C5" s="4" t="s">
        <v>86</v>
      </c>
      <c r="D5" s="4" t="s">
        <v>87</v>
      </c>
      <c r="E5" s="4" t="s">
        <v>88</v>
      </c>
      <c r="F5" s="10" t="s">
        <v>89</v>
      </c>
      <c r="G5" s="4" t="s">
        <v>27</v>
      </c>
      <c r="H5" s="4" t="s">
        <v>82</v>
      </c>
      <c r="I5" s="4" t="s">
        <v>90</v>
      </c>
      <c r="J5" s="12" t="s">
        <v>91</v>
      </c>
      <c r="K5" s="12" t="s">
        <v>74</v>
      </c>
      <c r="L5" s="13" t="s">
        <v>65</v>
      </c>
      <c r="M5" s="12" t="s">
        <v>92</v>
      </c>
      <c r="N5" s="4">
        <v>2.0</v>
      </c>
      <c r="O5" s="13"/>
      <c r="P5" s="14" t="s">
        <v>93</v>
      </c>
      <c r="Q5" s="2"/>
      <c r="R5" s="2"/>
      <c r="S5" s="2"/>
      <c r="T5" s="2"/>
      <c r="U5" s="2"/>
      <c r="V5" s="2"/>
      <c r="W5" s="2"/>
      <c r="X5" s="2"/>
      <c r="Y5" s="2"/>
      <c r="Z5" s="2"/>
    </row>
    <row r="6" hidden="1">
      <c r="A6" s="4" t="s">
        <v>94</v>
      </c>
      <c r="B6" s="4" t="s">
        <v>38</v>
      </c>
      <c r="C6" s="4" t="s">
        <v>95</v>
      </c>
      <c r="D6" s="4" t="s">
        <v>96</v>
      </c>
      <c r="E6" s="4" t="s">
        <v>97</v>
      </c>
      <c r="F6" s="10" t="s">
        <v>98</v>
      </c>
      <c r="G6" s="4" t="s">
        <v>27</v>
      </c>
      <c r="H6" s="4" t="s">
        <v>82</v>
      </c>
      <c r="I6" s="4" t="s">
        <v>99</v>
      </c>
      <c r="J6" s="12" t="s">
        <v>100</v>
      </c>
      <c r="K6" s="12" t="s">
        <v>74</v>
      </c>
      <c r="L6" s="13" t="s">
        <v>65</v>
      </c>
      <c r="M6" s="12" t="s">
        <v>101</v>
      </c>
      <c r="N6" s="4">
        <v>1.0</v>
      </c>
      <c r="O6" s="13"/>
      <c r="P6" s="14" t="s">
        <v>93</v>
      </c>
      <c r="Q6" s="2"/>
      <c r="R6" s="2"/>
      <c r="S6" s="2"/>
      <c r="T6" s="2"/>
      <c r="U6" s="2"/>
      <c r="V6" s="2"/>
      <c r="W6" s="2"/>
      <c r="X6" s="2"/>
      <c r="Y6" s="2"/>
      <c r="Z6" s="2"/>
    </row>
    <row r="7" hidden="1">
      <c r="A7" s="4" t="s">
        <v>102</v>
      </c>
      <c r="B7" s="4" t="s">
        <v>38</v>
      </c>
      <c r="C7" s="4" t="s">
        <v>103</v>
      </c>
      <c r="D7" s="4" t="s">
        <v>104</v>
      </c>
      <c r="E7" s="4" t="s">
        <v>105</v>
      </c>
      <c r="F7" s="10" t="s">
        <v>106</v>
      </c>
      <c r="G7" s="4" t="s">
        <v>28</v>
      </c>
      <c r="H7" s="4" t="s">
        <v>63</v>
      </c>
      <c r="I7" s="4"/>
      <c r="J7" s="11"/>
      <c r="K7" s="12" t="s">
        <v>64</v>
      </c>
      <c r="L7" s="13" t="s">
        <v>65</v>
      </c>
      <c r="M7" s="12" t="s">
        <v>107</v>
      </c>
      <c r="N7" s="4">
        <v>0.0</v>
      </c>
      <c r="O7" s="13"/>
      <c r="P7" s="13"/>
      <c r="Q7" s="2"/>
      <c r="R7" s="2"/>
      <c r="S7" s="2"/>
      <c r="T7" s="2"/>
      <c r="U7" s="2"/>
      <c r="V7" s="2"/>
      <c r="W7" s="2"/>
      <c r="X7" s="2"/>
      <c r="Y7" s="2"/>
      <c r="Z7" s="2"/>
    </row>
    <row r="8" hidden="1">
      <c r="A8" s="4" t="s">
        <v>108</v>
      </c>
      <c r="B8" s="4" t="s">
        <v>38</v>
      </c>
      <c r="C8" s="4" t="s">
        <v>109</v>
      </c>
      <c r="D8" s="4" t="s">
        <v>110</v>
      </c>
      <c r="E8" s="4" t="s">
        <v>111</v>
      </c>
      <c r="F8" s="10" t="s">
        <v>112</v>
      </c>
      <c r="G8" s="4" t="s">
        <v>29</v>
      </c>
      <c r="H8" s="4" t="s">
        <v>72</v>
      </c>
      <c r="I8" s="4"/>
      <c r="J8" s="12"/>
      <c r="K8" s="12" t="s">
        <v>64</v>
      </c>
      <c r="L8" s="13" t="s">
        <v>65</v>
      </c>
      <c r="M8" s="12" t="s">
        <v>113</v>
      </c>
      <c r="N8" s="4">
        <v>1.0</v>
      </c>
      <c r="O8" s="13"/>
      <c r="P8" s="13"/>
      <c r="Q8" s="2"/>
      <c r="R8" s="2"/>
      <c r="S8" s="2"/>
      <c r="T8" s="2"/>
      <c r="U8" s="2"/>
      <c r="V8" s="2"/>
      <c r="W8" s="2"/>
      <c r="X8" s="2"/>
      <c r="Y8" s="2"/>
      <c r="Z8" s="2"/>
    </row>
    <row r="9" hidden="1">
      <c r="A9" s="4" t="s">
        <v>114</v>
      </c>
      <c r="B9" s="4" t="s">
        <v>38</v>
      </c>
      <c r="C9" s="4" t="s">
        <v>115</v>
      </c>
      <c r="D9" s="4" t="s">
        <v>116</v>
      </c>
      <c r="E9" s="4" t="s">
        <v>117</v>
      </c>
      <c r="F9" s="10" t="s">
        <v>118</v>
      </c>
      <c r="G9" s="4" t="s">
        <v>27</v>
      </c>
      <c r="H9" s="4" t="s">
        <v>82</v>
      </c>
      <c r="I9" s="4"/>
      <c r="J9" s="12" t="s">
        <v>119</v>
      </c>
      <c r="K9" s="12" t="s">
        <v>74</v>
      </c>
      <c r="L9" s="13" t="s">
        <v>65</v>
      </c>
      <c r="M9" s="12" t="s">
        <v>120</v>
      </c>
      <c r="N9" s="4">
        <v>1.0</v>
      </c>
      <c r="O9" s="13"/>
      <c r="P9" s="14" t="s">
        <v>93</v>
      </c>
      <c r="Q9" s="2"/>
      <c r="R9" s="2"/>
      <c r="S9" s="2"/>
      <c r="T9" s="2"/>
      <c r="U9" s="2"/>
      <c r="V9" s="2"/>
      <c r="W9" s="2"/>
      <c r="X9" s="2"/>
      <c r="Y9" s="2"/>
      <c r="Z9" s="2"/>
    </row>
    <row r="10" hidden="1">
      <c r="A10" s="4" t="s">
        <v>121</v>
      </c>
      <c r="B10" s="4" t="s">
        <v>38</v>
      </c>
      <c r="C10" s="4" t="s">
        <v>122</v>
      </c>
      <c r="D10" s="4" t="s">
        <v>123</v>
      </c>
      <c r="E10" s="4" t="s">
        <v>124</v>
      </c>
      <c r="F10" s="10" t="s">
        <v>125</v>
      </c>
      <c r="G10" s="4" t="s">
        <v>27</v>
      </c>
      <c r="H10" s="4" t="s">
        <v>82</v>
      </c>
      <c r="I10" s="4"/>
      <c r="J10" s="12" t="s">
        <v>126</v>
      </c>
      <c r="K10" s="12" t="s">
        <v>74</v>
      </c>
      <c r="L10" s="13" t="s">
        <v>65</v>
      </c>
      <c r="M10" s="12" t="s">
        <v>127</v>
      </c>
      <c r="N10" s="4">
        <v>1.0</v>
      </c>
      <c r="O10" s="13"/>
      <c r="P10" s="14" t="s">
        <v>128</v>
      </c>
      <c r="Q10" s="2"/>
      <c r="R10" s="2"/>
      <c r="S10" s="2"/>
      <c r="T10" s="2"/>
      <c r="U10" s="2"/>
      <c r="V10" s="2"/>
      <c r="W10" s="2"/>
      <c r="X10" s="2"/>
      <c r="Y10" s="2"/>
      <c r="Z10" s="2"/>
    </row>
    <row r="11" hidden="1">
      <c r="A11" s="4" t="s">
        <v>129</v>
      </c>
      <c r="B11" s="4" t="s">
        <v>38</v>
      </c>
      <c r="C11" s="4" t="s">
        <v>130</v>
      </c>
      <c r="D11" s="4" t="s">
        <v>131</v>
      </c>
      <c r="E11" s="4" t="s">
        <v>132</v>
      </c>
      <c r="F11" s="10" t="s">
        <v>133</v>
      </c>
      <c r="G11" s="4" t="s">
        <v>27</v>
      </c>
      <c r="H11" s="4" t="s">
        <v>82</v>
      </c>
      <c r="I11" s="4"/>
      <c r="J11" s="12" t="s">
        <v>134</v>
      </c>
      <c r="K11" s="12" t="s">
        <v>74</v>
      </c>
      <c r="L11" s="13" t="s">
        <v>65</v>
      </c>
      <c r="M11" s="12" t="s">
        <v>135</v>
      </c>
      <c r="N11" s="4">
        <v>1.0</v>
      </c>
      <c r="O11" s="13"/>
      <c r="P11" s="14" t="s">
        <v>76</v>
      </c>
      <c r="Q11" s="2"/>
      <c r="R11" s="2"/>
      <c r="S11" s="2"/>
      <c r="T11" s="2"/>
      <c r="U11" s="2"/>
      <c r="V11" s="2"/>
      <c r="W11" s="2"/>
      <c r="X11" s="2"/>
      <c r="Y11" s="2"/>
      <c r="Z11" s="2"/>
    </row>
    <row r="12" hidden="1">
      <c r="A12" s="4" t="s">
        <v>136</v>
      </c>
      <c r="B12" s="4" t="s">
        <v>38</v>
      </c>
      <c r="C12" s="4" t="s">
        <v>137</v>
      </c>
      <c r="D12" s="4" t="s">
        <v>138</v>
      </c>
      <c r="E12" s="4" t="s">
        <v>139</v>
      </c>
      <c r="F12" s="10" t="s">
        <v>140</v>
      </c>
      <c r="G12" s="4" t="s">
        <v>29</v>
      </c>
      <c r="H12" s="4" t="s">
        <v>72</v>
      </c>
      <c r="I12" s="4" t="s">
        <v>141</v>
      </c>
      <c r="J12" s="11"/>
      <c r="K12" s="12" t="s">
        <v>64</v>
      </c>
      <c r="L12" s="13" t="s">
        <v>65</v>
      </c>
      <c r="M12" s="12" t="s">
        <v>142</v>
      </c>
      <c r="N12" s="4">
        <v>1.0</v>
      </c>
      <c r="O12" s="13"/>
      <c r="P12" s="13"/>
      <c r="Q12" s="2"/>
      <c r="R12" s="2"/>
      <c r="S12" s="2"/>
      <c r="T12" s="2"/>
      <c r="U12" s="2"/>
      <c r="V12" s="2"/>
      <c r="W12" s="2"/>
      <c r="X12" s="2"/>
      <c r="Y12" s="2"/>
      <c r="Z12" s="2"/>
    </row>
    <row r="13" hidden="1">
      <c r="A13" s="4" t="s">
        <v>143</v>
      </c>
      <c r="B13" s="4" t="s">
        <v>38</v>
      </c>
      <c r="C13" s="4" t="s">
        <v>144</v>
      </c>
      <c r="D13" s="4" t="s">
        <v>145</v>
      </c>
      <c r="E13" s="4" t="s">
        <v>146</v>
      </c>
      <c r="F13" s="10" t="s">
        <v>147</v>
      </c>
      <c r="G13" s="4" t="s">
        <v>29</v>
      </c>
      <c r="H13" s="4" t="s">
        <v>72</v>
      </c>
      <c r="I13" s="4"/>
      <c r="J13" s="11"/>
      <c r="K13" s="12" t="s">
        <v>64</v>
      </c>
      <c r="L13" s="13" t="s">
        <v>65</v>
      </c>
      <c r="M13" s="12" t="s">
        <v>148</v>
      </c>
      <c r="N13" s="4">
        <v>1.0</v>
      </c>
      <c r="O13" s="13"/>
      <c r="P13" s="13"/>
      <c r="Q13" s="2"/>
      <c r="R13" s="2"/>
      <c r="S13" s="2"/>
      <c r="T13" s="2"/>
      <c r="U13" s="2"/>
      <c r="V13" s="2"/>
      <c r="W13" s="2"/>
      <c r="X13" s="2"/>
      <c r="Y13" s="2"/>
      <c r="Z13" s="2"/>
    </row>
    <row r="14" hidden="1">
      <c r="A14" s="4" t="s">
        <v>149</v>
      </c>
      <c r="B14" s="4" t="s">
        <v>38</v>
      </c>
      <c r="C14" s="4" t="s">
        <v>150</v>
      </c>
      <c r="D14" s="4" t="s">
        <v>151</v>
      </c>
      <c r="E14" s="4" t="s">
        <v>152</v>
      </c>
      <c r="F14" s="10" t="s">
        <v>153</v>
      </c>
      <c r="G14" s="4" t="s">
        <v>28</v>
      </c>
      <c r="H14" s="4" t="s">
        <v>63</v>
      </c>
      <c r="I14" s="4"/>
      <c r="J14" s="11"/>
      <c r="K14" s="12" t="s">
        <v>64</v>
      </c>
      <c r="L14" s="13" t="s">
        <v>65</v>
      </c>
      <c r="M14" s="12" t="s">
        <v>154</v>
      </c>
      <c r="N14" s="4">
        <v>0.0</v>
      </c>
      <c r="O14" s="13"/>
      <c r="P14" s="13"/>
      <c r="Q14" s="2"/>
      <c r="R14" s="2"/>
      <c r="S14" s="2"/>
      <c r="T14" s="2"/>
      <c r="U14" s="2"/>
      <c r="V14" s="2"/>
      <c r="W14" s="2"/>
      <c r="X14" s="2"/>
      <c r="Y14" s="2"/>
      <c r="Z14" s="2"/>
    </row>
    <row r="15" hidden="1">
      <c r="A15" s="4" t="s">
        <v>155</v>
      </c>
      <c r="B15" s="4" t="s">
        <v>38</v>
      </c>
      <c r="C15" s="4" t="s">
        <v>156</v>
      </c>
      <c r="D15" s="4" t="s">
        <v>157</v>
      </c>
      <c r="E15" s="4" t="s">
        <v>158</v>
      </c>
      <c r="F15" s="10" t="s">
        <v>159</v>
      </c>
      <c r="G15" s="4" t="s">
        <v>28</v>
      </c>
      <c r="H15" s="4" t="s">
        <v>63</v>
      </c>
      <c r="I15" s="4" t="s">
        <v>141</v>
      </c>
      <c r="J15" s="12"/>
      <c r="K15" s="12" t="s">
        <v>64</v>
      </c>
      <c r="L15" s="12" t="s">
        <v>65</v>
      </c>
      <c r="M15" s="12" t="s">
        <v>160</v>
      </c>
      <c r="N15" s="4">
        <v>0.0</v>
      </c>
      <c r="O15" s="13"/>
      <c r="P15" s="13"/>
      <c r="Q15" s="2"/>
      <c r="R15" s="2"/>
      <c r="S15" s="2"/>
      <c r="T15" s="2"/>
      <c r="U15" s="2"/>
      <c r="V15" s="2"/>
      <c r="W15" s="2"/>
      <c r="X15" s="2"/>
      <c r="Y15" s="2"/>
      <c r="Z15" s="2"/>
    </row>
    <row r="16" hidden="1">
      <c r="A16" s="4" t="s">
        <v>161</v>
      </c>
      <c r="B16" s="4" t="s">
        <v>38</v>
      </c>
      <c r="C16" s="4" t="s">
        <v>162</v>
      </c>
      <c r="D16" s="4" t="s">
        <v>163</v>
      </c>
      <c r="E16" s="4" t="s">
        <v>164</v>
      </c>
      <c r="F16" s="10" t="s">
        <v>165</v>
      </c>
      <c r="G16" s="4" t="s">
        <v>27</v>
      </c>
      <c r="H16" s="4" t="s">
        <v>166</v>
      </c>
      <c r="I16" s="4" t="s">
        <v>167</v>
      </c>
      <c r="J16" s="12" t="s">
        <v>168</v>
      </c>
      <c r="K16" s="12" t="s">
        <v>74</v>
      </c>
      <c r="L16" s="15" t="s">
        <v>65</v>
      </c>
      <c r="M16" s="15" t="s">
        <v>169</v>
      </c>
      <c r="N16" s="4">
        <v>1.0</v>
      </c>
      <c r="O16" s="13"/>
      <c r="P16" s="14" t="s">
        <v>128</v>
      </c>
      <c r="Q16" s="2"/>
      <c r="R16" s="2"/>
      <c r="S16" s="2"/>
      <c r="T16" s="2"/>
      <c r="U16" s="2"/>
      <c r="V16" s="2"/>
      <c r="W16" s="2"/>
      <c r="X16" s="2"/>
      <c r="Y16" s="2"/>
      <c r="Z16" s="2"/>
    </row>
    <row r="17" hidden="1">
      <c r="A17" s="4" t="s">
        <v>170</v>
      </c>
      <c r="B17" s="4" t="s">
        <v>38</v>
      </c>
      <c r="C17" s="4" t="s">
        <v>171</v>
      </c>
      <c r="D17" s="4" t="s">
        <v>172</v>
      </c>
      <c r="E17" s="4" t="s">
        <v>173</v>
      </c>
      <c r="F17" s="10" t="s">
        <v>174</v>
      </c>
      <c r="G17" s="4" t="s">
        <v>29</v>
      </c>
      <c r="H17" s="4" t="s">
        <v>175</v>
      </c>
      <c r="I17" s="4"/>
      <c r="J17" s="11"/>
      <c r="K17" s="12" t="s">
        <v>64</v>
      </c>
      <c r="L17" s="13" t="s">
        <v>65</v>
      </c>
      <c r="M17" s="12" t="s">
        <v>176</v>
      </c>
      <c r="N17" s="4">
        <v>4.0</v>
      </c>
      <c r="O17" s="13"/>
      <c r="P17" s="13"/>
      <c r="Q17" s="2"/>
      <c r="R17" s="2"/>
      <c r="S17" s="2"/>
      <c r="T17" s="2"/>
      <c r="U17" s="2"/>
      <c r="V17" s="2"/>
      <c r="W17" s="2"/>
      <c r="X17" s="2"/>
      <c r="Y17" s="2"/>
      <c r="Z17" s="2"/>
    </row>
    <row r="18" hidden="1">
      <c r="A18" s="4" t="s">
        <v>177</v>
      </c>
      <c r="B18" s="4" t="s">
        <v>38</v>
      </c>
      <c r="C18" s="4" t="s">
        <v>178</v>
      </c>
      <c r="D18" s="4" t="s">
        <v>179</v>
      </c>
      <c r="E18" s="4" t="s">
        <v>180</v>
      </c>
      <c r="F18" s="10" t="s">
        <v>181</v>
      </c>
      <c r="G18" s="4" t="s">
        <v>27</v>
      </c>
      <c r="H18" s="4" t="s">
        <v>182</v>
      </c>
      <c r="I18" s="4"/>
      <c r="J18" s="11"/>
      <c r="K18" s="12" t="s">
        <v>64</v>
      </c>
      <c r="L18" s="13" t="s">
        <v>65</v>
      </c>
      <c r="M18" s="12" t="s">
        <v>183</v>
      </c>
      <c r="N18" s="4">
        <v>1.0</v>
      </c>
      <c r="O18" s="13"/>
      <c r="P18" s="13"/>
      <c r="Q18" s="2"/>
      <c r="R18" s="2"/>
      <c r="S18" s="2"/>
      <c r="T18" s="2"/>
      <c r="U18" s="2"/>
      <c r="V18" s="2"/>
      <c r="W18" s="2"/>
      <c r="X18" s="2"/>
      <c r="Y18" s="2"/>
      <c r="Z18" s="2"/>
    </row>
    <row r="19" hidden="1">
      <c r="A19" s="4" t="s">
        <v>184</v>
      </c>
      <c r="B19" s="4" t="s">
        <v>38</v>
      </c>
      <c r="C19" s="4" t="s">
        <v>185</v>
      </c>
      <c r="D19" s="4" t="s">
        <v>186</v>
      </c>
      <c r="E19" s="4" t="s">
        <v>187</v>
      </c>
      <c r="F19" s="10" t="s">
        <v>188</v>
      </c>
      <c r="G19" s="4" t="s">
        <v>29</v>
      </c>
      <c r="H19" s="4" t="s">
        <v>189</v>
      </c>
      <c r="I19" s="4" t="s">
        <v>141</v>
      </c>
      <c r="J19" s="11"/>
      <c r="K19" s="12" t="s">
        <v>64</v>
      </c>
      <c r="L19" s="13" t="s">
        <v>65</v>
      </c>
      <c r="M19" s="12" t="s">
        <v>190</v>
      </c>
      <c r="N19" s="4">
        <v>1.0</v>
      </c>
      <c r="O19" s="13"/>
      <c r="P19" s="13"/>
      <c r="Q19" s="2"/>
      <c r="R19" s="2"/>
      <c r="S19" s="2"/>
      <c r="T19" s="2"/>
      <c r="U19" s="2"/>
      <c r="V19" s="2"/>
      <c r="W19" s="2"/>
      <c r="X19" s="2"/>
      <c r="Y19" s="2"/>
      <c r="Z19" s="2"/>
    </row>
    <row r="20" hidden="1">
      <c r="A20" s="4" t="s">
        <v>191</v>
      </c>
      <c r="B20" s="4" t="s">
        <v>38</v>
      </c>
      <c r="C20" s="4" t="s">
        <v>192</v>
      </c>
      <c r="D20" s="4" t="s">
        <v>193</v>
      </c>
      <c r="E20" s="4" t="s">
        <v>194</v>
      </c>
      <c r="F20" s="10" t="s">
        <v>195</v>
      </c>
      <c r="G20" s="4" t="s">
        <v>29</v>
      </c>
      <c r="H20" s="4" t="s">
        <v>196</v>
      </c>
      <c r="I20" s="4"/>
      <c r="J20" s="11"/>
      <c r="K20" s="12" t="s">
        <v>64</v>
      </c>
      <c r="L20" s="13" t="s">
        <v>65</v>
      </c>
      <c r="M20" s="12" t="s">
        <v>197</v>
      </c>
      <c r="N20" s="4">
        <v>4.0</v>
      </c>
      <c r="O20" s="13"/>
      <c r="P20" s="13"/>
      <c r="Q20" s="2"/>
      <c r="R20" s="2"/>
      <c r="S20" s="2"/>
      <c r="T20" s="2"/>
      <c r="U20" s="2"/>
      <c r="V20" s="2"/>
      <c r="W20" s="2"/>
      <c r="X20" s="2"/>
      <c r="Y20" s="2"/>
      <c r="Z20" s="2"/>
    </row>
    <row r="21" ht="15.75" hidden="1" customHeight="1">
      <c r="A21" s="4" t="s">
        <v>198</v>
      </c>
      <c r="B21" s="4" t="s">
        <v>38</v>
      </c>
      <c r="C21" s="4" t="s">
        <v>199</v>
      </c>
      <c r="D21" s="4" t="s">
        <v>200</v>
      </c>
      <c r="E21" s="4" t="s">
        <v>152</v>
      </c>
      <c r="F21" s="10" t="s">
        <v>201</v>
      </c>
      <c r="G21" s="4" t="s">
        <v>28</v>
      </c>
      <c r="H21" s="4" t="s">
        <v>63</v>
      </c>
      <c r="I21" s="4"/>
      <c r="J21" s="11"/>
      <c r="K21" s="12" t="s">
        <v>64</v>
      </c>
      <c r="L21" s="13" t="s">
        <v>65</v>
      </c>
      <c r="M21" s="12" t="s">
        <v>154</v>
      </c>
      <c r="N21" s="4">
        <v>0.0</v>
      </c>
      <c r="O21" s="13"/>
      <c r="P21" s="13"/>
      <c r="Q21" s="2"/>
      <c r="R21" s="2"/>
      <c r="S21" s="2"/>
      <c r="T21" s="2"/>
      <c r="U21" s="2"/>
      <c r="V21" s="2"/>
      <c r="W21" s="2"/>
      <c r="X21" s="2"/>
      <c r="Y21" s="2"/>
      <c r="Z21" s="2"/>
    </row>
    <row r="22" ht="15.75" hidden="1" customHeight="1">
      <c r="A22" s="4" t="s">
        <v>202</v>
      </c>
      <c r="B22" s="4" t="s">
        <v>38</v>
      </c>
      <c r="C22" s="4" t="s">
        <v>203</v>
      </c>
      <c r="D22" s="4" t="s">
        <v>204</v>
      </c>
      <c r="E22" s="4" t="s">
        <v>158</v>
      </c>
      <c r="F22" s="10" t="s">
        <v>205</v>
      </c>
      <c r="G22" s="4" t="s">
        <v>29</v>
      </c>
      <c r="H22" s="4" t="s">
        <v>72</v>
      </c>
      <c r="I22" s="4" t="s">
        <v>206</v>
      </c>
      <c r="J22" s="11"/>
      <c r="K22" s="12" t="s">
        <v>64</v>
      </c>
      <c r="L22" s="15" t="s">
        <v>65</v>
      </c>
      <c r="M22" s="15" t="s">
        <v>207</v>
      </c>
      <c r="N22" s="4">
        <v>1.0</v>
      </c>
      <c r="O22" s="13"/>
      <c r="P22" s="13"/>
      <c r="Q22" s="2"/>
      <c r="R22" s="2"/>
      <c r="S22" s="2"/>
      <c r="T22" s="2"/>
      <c r="U22" s="2"/>
      <c r="V22" s="2"/>
      <c r="W22" s="2"/>
      <c r="X22" s="2"/>
      <c r="Y22" s="2"/>
      <c r="Z22" s="2"/>
    </row>
    <row r="23" ht="15.75" hidden="1" customHeight="1">
      <c r="A23" s="4" t="s">
        <v>208</v>
      </c>
      <c r="B23" s="4" t="s">
        <v>39</v>
      </c>
      <c r="C23" s="4" t="s">
        <v>209</v>
      </c>
      <c r="D23" s="4" t="s">
        <v>210</v>
      </c>
      <c r="E23" s="4" t="s">
        <v>211</v>
      </c>
      <c r="F23" s="10" t="s">
        <v>212</v>
      </c>
      <c r="G23" s="4" t="s">
        <v>27</v>
      </c>
      <c r="H23" s="4" t="s">
        <v>82</v>
      </c>
      <c r="I23" s="4"/>
      <c r="J23" s="12" t="s">
        <v>213</v>
      </c>
      <c r="K23" s="12" t="s">
        <v>74</v>
      </c>
      <c r="L23" s="15" t="s">
        <v>65</v>
      </c>
      <c r="M23" s="15" t="s">
        <v>214</v>
      </c>
      <c r="N23" s="4">
        <v>1.0</v>
      </c>
      <c r="O23" s="13"/>
      <c r="P23" s="14" t="s">
        <v>128</v>
      </c>
      <c r="Q23" s="2"/>
      <c r="R23" s="2"/>
      <c r="S23" s="2"/>
      <c r="T23" s="2"/>
      <c r="U23" s="2"/>
      <c r="V23" s="2"/>
      <c r="W23" s="2"/>
      <c r="X23" s="2"/>
      <c r="Y23" s="2"/>
      <c r="Z23" s="2"/>
    </row>
    <row r="24" ht="15.75" hidden="1" customHeight="1">
      <c r="A24" s="4" t="s">
        <v>215</v>
      </c>
      <c r="B24" s="4" t="s">
        <v>39</v>
      </c>
      <c r="C24" s="4" t="s">
        <v>216</v>
      </c>
      <c r="D24" s="4" t="s">
        <v>217</v>
      </c>
      <c r="E24" s="4" t="s">
        <v>218</v>
      </c>
      <c r="F24" s="10" t="s">
        <v>219</v>
      </c>
      <c r="G24" s="4" t="s">
        <v>27</v>
      </c>
      <c r="H24" s="4" t="s">
        <v>82</v>
      </c>
      <c r="I24" s="4"/>
      <c r="J24" s="12" t="s">
        <v>220</v>
      </c>
      <c r="K24" s="12" t="s">
        <v>74</v>
      </c>
      <c r="L24" s="15" t="s">
        <v>65</v>
      </c>
      <c r="M24" s="15" t="s">
        <v>221</v>
      </c>
      <c r="N24" s="4">
        <v>1.0</v>
      </c>
      <c r="O24" s="13"/>
      <c r="P24" s="14" t="s">
        <v>76</v>
      </c>
      <c r="Q24" s="2"/>
      <c r="R24" s="2"/>
      <c r="S24" s="2"/>
      <c r="T24" s="2"/>
      <c r="U24" s="2"/>
      <c r="V24" s="2"/>
      <c r="W24" s="2"/>
      <c r="X24" s="2"/>
      <c r="Y24" s="2"/>
      <c r="Z24" s="2"/>
    </row>
    <row r="25" ht="15.75" hidden="1" customHeight="1">
      <c r="A25" s="4" t="s">
        <v>222</v>
      </c>
      <c r="B25" s="4" t="s">
        <v>39</v>
      </c>
      <c r="C25" s="4" t="s">
        <v>223</v>
      </c>
      <c r="D25" s="4" t="s">
        <v>224</v>
      </c>
      <c r="E25" s="4" t="s">
        <v>152</v>
      </c>
      <c r="F25" s="10" t="s">
        <v>225</v>
      </c>
      <c r="G25" s="4" t="s">
        <v>28</v>
      </c>
      <c r="H25" s="4" t="s">
        <v>63</v>
      </c>
      <c r="I25" s="4"/>
      <c r="J25" s="11"/>
      <c r="K25" s="12" t="s">
        <v>64</v>
      </c>
      <c r="L25" s="15" t="s">
        <v>65</v>
      </c>
      <c r="M25" s="15" t="s">
        <v>226</v>
      </c>
      <c r="N25" s="4">
        <v>0.0</v>
      </c>
      <c r="O25" s="13"/>
      <c r="P25" s="13"/>
      <c r="Q25" s="2"/>
      <c r="R25" s="2"/>
      <c r="S25" s="2"/>
      <c r="T25" s="2"/>
      <c r="U25" s="2"/>
      <c r="V25" s="2"/>
      <c r="W25" s="2"/>
      <c r="X25" s="2"/>
      <c r="Y25" s="2"/>
      <c r="Z25" s="2"/>
    </row>
    <row r="26" ht="15.75" hidden="1" customHeight="1">
      <c r="A26" s="4" t="s">
        <v>227</v>
      </c>
      <c r="B26" s="4" t="s">
        <v>39</v>
      </c>
      <c r="C26" s="4" t="s">
        <v>228</v>
      </c>
      <c r="D26" s="4" t="s">
        <v>229</v>
      </c>
      <c r="E26" s="4" t="s">
        <v>158</v>
      </c>
      <c r="F26" s="10" t="s">
        <v>230</v>
      </c>
      <c r="G26" s="4" t="s">
        <v>29</v>
      </c>
      <c r="H26" s="4" t="s">
        <v>72</v>
      </c>
      <c r="I26" s="4" t="s">
        <v>141</v>
      </c>
      <c r="J26" s="11"/>
      <c r="K26" s="12" t="s">
        <v>64</v>
      </c>
      <c r="L26" s="15" t="s">
        <v>65</v>
      </c>
      <c r="M26" s="15" t="s">
        <v>231</v>
      </c>
      <c r="N26" s="4">
        <v>1.0</v>
      </c>
      <c r="O26" s="13"/>
      <c r="P26" s="13"/>
      <c r="Q26" s="2"/>
      <c r="R26" s="2"/>
      <c r="S26" s="2"/>
      <c r="T26" s="2"/>
      <c r="U26" s="2"/>
      <c r="V26" s="2"/>
      <c r="W26" s="2"/>
      <c r="X26" s="2"/>
      <c r="Y26" s="2"/>
      <c r="Z26" s="2"/>
    </row>
    <row r="27" ht="15.75" hidden="1" customHeight="1">
      <c r="A27" s="4" t="s">
        <v>232</v>
      </c>
      <c r="B27" s="4" t="s">
        <v>39</v>
      </c>
      <c r="C27" s="4" t="s">
        <v>233</v>
      </c>
      <c r="D27" s="4" t="s">
        <v>234</v>
      </c>
      <c r="E27" s="4" t="s">
        <v>235</v>
      </c>
      <c r="F27" s="10" t="s">
        <v>236</v>
      </c>
      <c r="G27" s="4" t="s">
        <v>27</v>
      </c>
      <c r="H27" s="4" t="s">
        <v>237</v>
      </c>
      <c r="I27" s="4" t="s">
        <v>238</v>
      </c>
      <c r="J27" s="11" t="s">
        <v>239</v>
      </c>
      <c r="K27" s="11" t="s">
        <v>240</v>
      </c>
      <c r="L27" s="13" t="s">
        <v>241</v>
      </c>
      <c r="M27" s="11" t="s">
        <v>242</v>
      </c>
      <c r="N27" s="4">
        <v>1.0</v>
      </c>
      <c r="O27" s="13"/>
      <c r="P27" s="13"/>
      <c r="Q27" s="2"/>
      <c r="R27" s="2"/>
      <c r="S27" s="2"/>
      <c r="T27" s="2"/>
      <c r="U27" s="2"/>
      <c r="V27" s="2"/>
      <c r="W27" s="2"/>
      <c r="X27" s="2"/>
      <c r="Y27" s="2"/>
      <c r="Z27" s="2"/>
    </row>
    <row r="28" ht="15.75" hidden="1" customHeight="1">
      <c r="A28" s="4" t="s">
        <v>243</v>
      </c>
      <c r="B28" s="4" t="s">
        <v>39</v>
      </c>
      <c r="C28" s="4" t="s">
        <v>244</v>
      </c>
      <c r="D28" s="4" t="s">
        <v>245</v>
      </c>
      <c r="E28" s="4" t="s">
        <v>246</v>
      </c>
      <c r="F28" s="10" t="s">
        <v>247</v>
      </c>
      <c r="G28" s="4" t="s">
        <v>27</v>
      </c>
      <c r="H28" s="4" t="s">
        <v>82</v>
      </c>
      <c r="I28" s="4"/>
      <c r="J28" s="12" t="s">
        <v>248</v>
      </c>
      <c r="K28" s="12" t="s">
        <v>74</v>
      </c>
      <c r="L28" s="15" t="s">
        <v>65</v>
      </c>
      <c r="M28" s="15" t="s">
        <v>249</v>
      </c>
      <c r="N28" s="4">
        <v>1.0</v>
      </c>
      <c r="O28" s="13"/>
      <c r="P28" s="14" t="s">
        <v>76</v>
      </c>
      <c r="Q28" s="2"/>
      <c r="R28" s="2"/>
      <c r="S28" s="2"/>
      <c r="T28" s="2"/>
      <c r="U28" s="2"/>
      <c r="V28" s="2"/>
      <c r="W28" s="2"/>
      <c r="X28" s="2"/>
      <c r="Y28" s="2"/>
      <c r="Z28" s="2"/>
    </row>
    <row r="29" ht="15.75" hidden="1" customHeight="1">
      <c r="A29" s="4" t="s">
        <v>250</v>
      </c>
      <c r="B29" s="4" t="s">
        <v>39</v>
      </c>
      <c r="C29" s="4" t="s">
        <v>251</v>
      </c>
      <c r="D29" s="4" t="s">
        <v>252</v>
      </c>
      <c r="E29" s="4" t="s">
        <v>253</v>
      </c>
      <c r="F29" s="10" t="s">
        <v>254</v>
      </c>
      <c r="G29" s="4" t="s">
        <v>29</v>
      </c>
      <c r="H29" s="4" t="s">
        <v>72</v>
      </c>
      <c r="I29" s="4"/>
      <c r="J29" s="11"/>
      <c r="K29" s="12" t="s">
        <v>64</v>
      </c>
      <c r="L29" s="15" t="s">
        <v>65</v>
      </c>
      <c r="M29" s="15" t="s">
        <v>255</v>
      </c>
      <c r="N29" s="4">
        <v>3.0</v>
      </c>
      <c r="O29" s="13"/>
      <c r="P29" s="13"/>
      <c r="Q29" s="2"/>
      <c r="R29" s="2"/>
      <c r="S29" s="2"/>
      <c r="T29" s="2"/>
      <c r="U29" s="2"/>
      <c r="V29" s="2"/>
      <c r="W29" s="2"/>
      <c r="X29" s="2"/>
      <c r="Y29" s="2"/>
      <c r="Z29" s="2"/>
    </row>
    <row r="30" ht="15.75" hidden="1" customHeight="1">
      <c r="A30" s="4" t="s">
        <v>256</v>
      </c>
      <c r="B30" s="4" t="s">
        <v>39</v>
      </c>
      <c r="C30" s="4" t="s">
        <v>257</v>
      </c>
      <c r="D30" s="4" t="s">
        <v>258</v>
      </c>
      <c r="E30" s="4" t="s">
        <v>152</v>
      </c>
      <c r="F30" s="10" t="s">
        <v>259</v>
      </c>
      <c r="G30" s="4" t="s">
        <v>28</v>
      </c>
      <c r="H30" s="4" t="s">
        <v>63</v>
      </c>
      <c r="I30" s="4"/>
      <c r="J30" s="11"/>
      <c r="K30" s="12" t="s">
        <v>64</v>
      </c>
      <c r="L30" s="15" t="s">
        <v>65</v>
      </c>
      <c r="M30" s="15" t="s">
        <v>154</v>
      </c>
      <c r="N30" s="4">
        <v>0.0</v>
      </c>
      <c r="O30" s="13"/>
      <c r="P30" s="13"/>
      <c r="Q30" s="2"/>
      <c r="R30" s="2"/>
      <c r="S30" s="2"/>
      <c r="T30" s="2"/>
      <c r="U30" s="2"/>
      <c r="V30" s="2"/>
      <c r="W30" s="2"/>
      <c r="X30" s="2"/>
      <c r="Y30" s="2"/>
      <c r="Z30" s="2"/>
    </row>
    <row r="31" ht="15.75" hidden="1" customHeight="1">
      <c r="A31" s="4" t="s">
        <v>260</v>
      </c>
      <c r="B31" s="4" t="s">
        <v>39</v>
      </c>
      <c r="C31" s="4" t="s">
        <v>261</v>
      </c>
      <c r="D31" s="4" t="s">
        <v>262</v>
      </c>
      <c r="E31" s="4" t="s">
        <v>158</v>
      </c>
      <c r="F31" s="10" t="s">
        <v>263</v>
      </c>
      <c r="G31" s="4" t="s">
        <v>28</v>
      </c>
      <c r="H31" s="4" t="s">
        <v>63</v>
      </c>
      <c r="I31" s="4" t="s">
        <v>264</v>
      </c>
      <c r="J31" s="11"/>
      <c r="K31" s="12" t="s">
        <v>64</v>
      </c>
      <c r="L31" s="15" t="s">
        <v>65</v>
      </c>
      <c r="M31" s="15" t="s">
        <v>265</v>
      </c>
      <c r="N31" s="4">
        <v>0.0</v>
      </c>
      <c r="O31" s="13"/>
      <c r="P31" s="13"/>
      <c r="Q31" s="2"/>
      <c r="R31" s="2"/>
      <c r="S31" s="2"/>
      <c r="T31" s="2"/>
      <c r="U31" s="2"/>
      <c r="V31" s="2"/>
      <c r="W31" s="2"/>
      <c r="X31" s="2"/>
      <c r="Y31" s="2"/>
      <c r="Z31" s="2"/>
    </row>
    <row r="32" ht="15.75" hidden="1" customHeight="1">
      <c r="A32" s="4" t="s">
        <v>266</v>
      </c>
      <c r="B32" s="4" t="s">
        <v>39</v>
      </c>
      <c r="C32" s="4" t="s">
        <v>267</v>
      </c>
      <c r="D32" s="4" t="s">
        <v>268</v>
      </c>
      <c r="E32" s="4" t="s">
        <v>269</v>
      </c>
      <c r="F32" s="10" t="s">
        <v>270</v>
      </c>
      <c r="G32" s="4" t="s">
        <v>28</v>
      </c>
      <c r="H32" s="4" t="s">
        <v>63</v>
      </c>
      <c r="I32" s="4"/>
      <c r="J32" s="11"/>
      <c r="K32" s="12" t="s">
        <v>64</v>
      </c>
      <c r="L32" s="15" t="s">
        <v>65</v>
      </c>
      <c r="M32" s="15" t="s">
        <v>271</v>
      </c>
      <c r="N32" s="4">
        <v>0.0</v>
      </c>
      <c r="O32" s="13"/>
      <c r="P32" s="13"/>
      <c r="Q32" s="2"/>
      <c r="R32" s="2"/>
      <c r="S32" s="2"/>
      <c r="T32" s="2"/>
      <c r="U32" s="2"/>
      <c r="V32" s="2"/>
      <c r="W32" s="2"/>
      <c r="X32" s="2"/>
      <c r="Y32" s="2"/>
      <c r="Z32" s="2"/>
    </row>
    <row r="33" ht="15.75" hidden="1" customHeight="1">
      <c r="A33" s="4" t="s">
        <v>272</v>
      </c>
      <c r="B33" s="4" t="s">
        <v>39</v>
      </c>
      <c r="C33" s="4" t="s">
        <v>273</v>
      </c>
      <c r="D33" s="4" t="s">
        <v>274</v>
      </c>
      <c r="E33" s="4" t="s">
        <v>275</v>
      </c>
      <c r="F33" s="10" t="s">
        <v>276</v>
      </c>
      <c r="G33" s="4" t="s">
        <v>27</v>
      </c>
      <c r="H33" s="4" t="s">
        <v>82</v>
      </c>
      <c r="I33" s="4"/>
      <c r="J33" s="11"/>
      <c r="K33" s="12" t="s">
        <v>64</v>
      </c>
      <c r="L33" s="15" t="s">
        <v>65</v>
      </c>
      <c r="M33" s="15" t="s">
        <v>277</v>
      </c>
      <c r="N33" s="4">
        <v>1.0</v>
      </c>
      <c r="O33" s="13"/>
      <c r="P33" s="13"/>
      <c r="Q33" s="2"/>
      <c r="R33" s="2"/>
      <c r="S33" s="2"/>
      <c r="T33" s="2"/>
      <c r="U33" s="2"/>
      <c r="V33" s="2"/>
      <c r="W33" s="2"/>
      <c r="X33" s="2"/>
      <c r="Y33" s="2"/>
      <c r="Z33" s="2"/>
    </row>
    <row r="34" ht="15.75" hidden="1" customHeight="1">
      <c r="A34" s="4" t="s">
        <v>278</v>
      </c>
      <c r="B34" s="4" t="s">
        <v>39</v>
      </c>
      <c r="C34" s="4" t="s">
        <v>279</v>
      </c>
      <c r="D34" s="4" t="s">
        <v>280</v>
      </c>
      <c r="E34" s="4" t="s">
        <v>281</v>
      </c>
      <c r="F34" s="10" t="s">
        <v>282</v>
      </c>
      <c r="G34" s="4" t="s">
        <v>29</v>
      </c>
      <c r="H34" s="4" t="s">
        <v>72</v>
      </c>
      <c r="I34" s="4" t="s">
        <v>99</v>
      </c>
      <c r="J34" s="11"/>
      <c r="K34" s="12" t="s">
        <v>64</v>
      </c>
      <c r="L34" s="15" t="s">
        <v>65</v>
      </c>
      <c r="M34" s="15" t="s">
        <v>283</v>
      </c>
      <c r="N34" s="4">
        <v>1.0</v>
      </c>
      <c r="O34" s="13"/>
      <c r="P34" s="13"/>
      <c r="Q34" s="2"/>
      <c r="R34" s="2"/>
      <c r="S34" s="2"/>
      <c r="T34" s="2"/>
      <c r="U34" s="2"/>
      <c r="V34" s="2"/>
      <c r="W34" s="2"/>
      <c r="X34" s="2"/>
      <c r="Y34" s="2"/>
      <c r="Z34" s="2"/>
    </row>
    <row r="35" ht="15.75" hidden="1" customHeight="1">
      <c r="A35" s="4" t="s">
        <v>284</v>
      </c>
      <c r="B35" s="4" t="s">
        <v>39</v>
      </c>
      <c r="C35" s="4" t="s">
        <v>285</v>
      </c>
      <c r="D35" s="4" t="s">
        <v>286</v>
      </c>
      <c r="E35" s="4" t="s">
        <v>152</v>
      </c>
      <c r="F35" s="10" t="s">
        <v>201</v>
      </c>
      <c r="G35" s="4" t="s">
        <v>28</v>
      </c>
      <c r="H35" s="4" t="s">
        <v>63</v>
      </c>
      <c r="I35" s="4"/>
      <c r="J35" s="11"/>
      <c r="K35" s="12" t="s">
        <v>64</v>
      </c>
      <c r="L35" s="15" t="s">
        <v>65</v>
      </c>
      <c r="M35" s="15" t="s">
        <v>154</v>
      </c>
      <c r="N35" s="4">
        <v>0.0</v>
      </c>
      <c r="O35" s="13"/>
      <c r="P35" s="13"/>
      <c r="Q35" s="2"/>
      <c r="R35" s="2"/>
      <c r="S35" s="2"/>
      <c r="T35" s="2"/>
      <c r="U35" s="2"/>
      <c r="V35" s="2"/>
      <c r="W35" s="2"/>
      <c r="X35" s="2"/>
      <c r="Y35" s="2"/>
      <c r="Z35" s="2"/>
    </row>
    <row r="36" ht="15.75" hidden="1" customHeight="1">
      <c r="A36" s="4" t="s">
        <v>287</v>
      </c>
      <c r="B36" s="4" t="s">
        <v>39</v>
      </c>
      <c r="C36" s="4" t="s">
        <v>288</v>
      </c>
      <c r="D36" s="4" t="s">
        <v>289</v>
      </c>
      <c r="E36" s="4" t="s">
        <v>158</v>
      </c>
      <c r="F36" s="10" t="s">
        <v>290</v>
      </c>
      <c r="G36" s="4" t="s">
        <v>28</v>
      </c>
      <c r="H36" s="4" t="s">
        <v>63</v>
      </c>
      <c r="I36" s="4" t="s">
        <v>141</v>
      </c>
      <c r="J36" s="11"/>
      <c r="K36" s="12" t="s">
        <v>64</v>
      </c>
      <c r="L36" s="15" t="s">
        <v>65</v>
      </c>
      <c r="M36" s="15" t="s">
        <v>291</v>
      </c>
      <c r="N36" s="4">
        <v>0.0</v>
      </c>
      <c r="O36" s="13"/>
      <c r="P36" s="13"/>
      <c r="Q36" s="2"/>
      <c r="R36" s="2"/>
      <c r="S36" s="2"/>
      <c r="T36" s="2"/>
      <c r="U36" s="2"/>
      <c r="V36" s="2"/>
      <c r="W36" s="2"/>
      <c r="X36" s="2"/>
      <c r="Y36" s="2"/>
      <c r="Z36" s="2"/>
    </row>
    <row r="37" ht="15.75" hidden="1" customHeight="1">
      <c r="A37" s="4" t="s">
        <v>292</v>
      </c>
      <c r="B37" s="4" t="s">
        <v>39</v>
      </c>
      <c r="C37" s="4" t="s">
        <v>293</v>
      </c>
      <c r="D37" s="4" t="s">
        <v>294</v>
      </c>
      <c r="E37" s="4" t="s">
        <v>295</v>
      </c>
      <c r="F37" s="10" t="s">
        <v>296</v>
      </c>
      <c r="G37" s="4" t="s">
        <v>27</v>
      </c>
      <c r="H37" s="4" t="s">
        <v>166</v>
      </c>
      <c r="I37" s="4" t="s">
        <v>297</v>
      </c>
      <c r="J37" s="11" t="s">
        <v>298</v>
      </c>
      <c r="K37" s="11" t="s">
        <v>240</v>
      </c>
      <c r="L37" s="13" t="s">
        <v>241</v>
      </c>
      <c r="M37" s="11" t="s">
        <v>299</v>
      </c>
      <c r="N37" s="4">
        <v>1.0</v>
      </c>
      <c r="O37" s="13"/>
      <c r="P37" s="13"/>
      <c r="Q37" s="2"/>
      <c r="R37" s="2"/>
      <c r="S37" s="2"/>
      <c r="T37" s="2"/>
      <c r="U37" s="2"/>
      <c r="V37" s="2"/>
      <c r="W37" s="2"/>
      <c r="X37" s="2"/>
      <c r="Y37" s="2"/>
      <c r="Z37" s="2"/>
    </row>
    <row r="38" ht="15.75" hidden="1" customHeight="1">
      <c r="A38" s="4" t="s">
        <v>300</v>
      </c>
      <c r="B38" s="4" t="s">
        <v>39</v>
      </c>
      <c r="C38" s="4" t="s">
        <v>301</v>
      </c>
      <c r="D38" s="4" t="s">
        <v>302</v>
      </c>
      <c r="E38" s="4" t="s">
        <v>303</v>
      </c>
      <c r="F38" s="10" t="s">
        <v>304</v>
      </c>
      <c r="G38" s="4" t="s">
        <v>27</v>
      </c>
      <c r="H38" s="4" t="s">
        <v>82</v>
      </c>
      <c r="I38" s="4"/>
      <c r="J38" s="12" t="s">
        <v>305</v>
      </c>
      <c r="K38" s="12" t="s">
        <v>74</v>
      </c>
      <c r="L38" s="15" t="s">
        <v>65</v>
      </c>
      <c r="M38" s="15" t="s">
        <v>306</v>
      </c>
      <c r="N38" s="4">
        <v>1.0</v>
      </c>
      <c r="O38" s="13"/>
      <c r="P38" s="14" t="s">
        <v>76</v>
      </c>
      <c r="Q38" s="2"/>
      <c r="R38" s="2"/>
      <c r="S38" s="2"/>
      <c r="T38" s="2"/>
      <c r="U38" s="2"/>
      <c r="V38" s="2"/>
      <c r="W38" s="2"/>
      <c r="X38" s="2"/>
      <c r="Y38" s="2"/>
      <c r="Z38" s="2"/>
    </row>
    <row r="39" ht="15.75" hidden="1" customHeight="1">
      <c r="A39" s="4" t="s">
        <v>307</v>
      </c>
      <c r="B39" s="4" t="s">
        <v>39</v>
      </c>
      <c r="C39" s="4" t="s">
        <v>308</v>
      </c>
      <c r="D39" s="4" t="s">
        <v>309</v>
      </c>
      <c r="E39" s="4" t="s">
        <v>310</v>
      </c>
      <c r="F39" s="10" t="s">
        <v>311</v>
      </c>
      <c r="G39" s="4" t="s">
        <v>27</v>
      </c>
      <c r="H39" s="4" t="s">
        <v>82</v>
      </c>
      <c r="I39" s="4"/>
      <c r="J39" s="11"/>
      <c r="K39" s="12" t="s">
        <v>64</v>
      </c>
      <c r="L39" s="15" t="s">
        <v>65</v>
      </c>
      <c r="M39" s="15" t="s">
        <v>312</v>
      </c>
      <c r="N39" s="4">
        <v>2.0</v>
      </c>
      <c r="O39" s="13"/>
      <c r="P39" s="13"/>
      <c r="Q39" s="2"/>
      <c r="R39" s="2"/>
      <c r="S39" s="2"/>
      <c r="T39" s="2"/>
      <c r="U39" s="2"/>
      <c r="V39" s="2"/>
      <c r="W39" s="2"/>
      <c r="X39" s="2"/>
      <c r="Y39" s="2"/>
      <c r="Z39" s="2"/>
    </row>
    <row r="40" ht="15.75" hidden="1" customHeight="1">
      <c r="A40" s="4" t="s">
        <v>313</v>
      </c>
      <c r="B40" s="4" t="s">
        <v>39</v>
      </c>
      <c r="C40" s="4" t="s">
        <v>314</v>
      </c>
      <c r="D40" s="4" t="s">
        <v>315</v>
      </c>
      <c r="E40" s="4" t="s">
        <v>152</v>
      </c>
      <c r="F40" s="10" t="s">
        <v>316</v>
      </c>
      <c r="G40" s="4" t="s">
        <v>28</v>
      </c>
      <c r="H40" s="4" t="s">
        <v>63</v>
      </c>
      <c r="I40" s="4"/>
      <c r="J40" s="11"/>
      <c r="K40" s="12" t="s">
        <v>64</v>
      </c>
      <c r="L40" s="15" t="s">
        <v>65</v>
      </c>
      <c r="M40" s="15" t="s">
        <v>154</v>
      </c>
      <c r="N40" s="4">
        <v>0.0</v>
      </c>
      <c r="O40" s="13"/>
      <c r="P40" s="13"/>
      <c r="Q40" s="2"/>
      <c r="R40" s="2"/>
      <c r="S40" s="2"/>
      <c r="T40" s="2"/>
      <c r="U40" s="2"/>
      <c r="V40" s="2"/>
      <c r="W40" s="2"/>
      <c r="X40" s="2"/>
      <c r="Y40" s="2"/>
      <c r="Z40" s="2"/>
    </row>
    <row r="41" ht="15.75" hidden="1" customHeight="1">
      <c r="A41" s="4" t="s">
        <v>317</v>
      </c>
      <c r="B41" s="4" t="s">
        <v>39</v>
      </c>
      <c r="C41" s="4" t="s">
        <v>318</v>
      </c>
      <c r="D41" s="4" t="s">
        <v>319</v>
      </c>
      <c r="E41" s="4" t="s">
        <v>158</v>
      </c>
      <c r="F41" s="10" t="s">
        <v>320</v>
      </c>
      <c r="G41" s="4" t="s">
        <v>28</v>
      </c>
      <c r="H41" s="4" t="s">
        <v>63</v>
      </c>
      <c r="I41" s="4" t="s">
        <v>141</v>
      </c>
      <c r="J41" s="11"/>
      <c r="K41" s="12" t="s">
        <v>64</v>
      </c>
      <c r="L41" s="15" t="s">
        <v>65</v>
      </c>
      <c r="M41" s="15" t="s">
        <v>321</v>
      </c>
      <c r="N41" s="4">
        <v>0.0</v>
      </c>
      <c r="O41" s="13"/>
      <c r="P41" s="13"/>
      <c r="Q41" s="2"/>
      <c r="R41" s="2"/>
      <c r="S41" s="2"/>
      <c r="T41" s="2"/>
      <c r="U41" s="2"/>
      <c r="V41" s="2"/>
      <c r="W41" s="2"/>
      <c r="X41" s="2"/>
      <c r="Y41" s="2"/>
      <c r="Z41" s="2"/>
    </row>
    <row r="42" ht="15.75" hidden="1" customHeight="1">
      <c r="A42" s="4" t="s">
        <v>322</v>
      </c>
      <c r="B42" s="4" t="s">
        <v>39</v>
      </c>
      <c r="C42" s="4" t="s">
        <v>323</v>
      </c>
      <c r="D42" s="4" t="s">
        <v>324</v>
      </c>
      <c r="E42" s="4" t="s">
        <v>325</v>
      </c>
      <c r="F42" s="10" t="s">
        <v>326</v>
      </c>
      <c r="G42" s="4" t="s">
        <v>27</v>
      </c>
      <c r="H42" s="4" t="s">
        <v>166</v>
      </c>
      <c r="I42" s="4" t="s">
        <v>327</v>
      </c>
      <c r="J42" s="11"/>
      <c r="K42" s="12" t="s">
        <v>64</v>
      </c>
      <c r="L42" s="15" t="s">
        <v>65</v>
      </c>
      <c r="M42" s="15" t="s">
        <v>328</v>
      </c>
      <c r="N42" s="4">
        <v>1.0</v>
      </c>
      <c r="O42" s="13"/>
      <c r="P42" s="13"/>
      <c r="Q42" s="2"/>
      <c r="R42" s="2"/>
      <c r="S42" s="2"/>
      <c r="T42" s="2"/>
      <c r="U42" s="2"/>
      <c r="V42" s="2"/>
      <c r="W42" s="2"/>
      <c r="X42" s="2"/>
      <c r="Y42" s="2"/>
      <c r="Z42" s="2"/>
    </row>
    <row r="43" ht="15.75" hidden="1" customHeight="1">
      <c r="A43" s="4" t="s">
        <v>329</v>
      </c>
      <c r="B43" s="4" t="s">
        <v>39</v>
      </c>
      <c r="C43" s="4" t="s">
        <v>330</v>
      </c>
      <c r="D43" s="4" t="s">
        <v>331</v>
      </c>
      <c r="E43" s="4" t="s">
        <v>332</v>
      </c>
      <c r="F43" s="10" t="s">
        <v>333</v>
      </c>
      <c r="G43" s="4" t="s">
        <v>29</v>
      </c>
      <c r="H43" s="4" t="s">
        <v>72</v>
      </c>
      <c r="I43" s="4"/>
      <c r="J43" s="11"/>
      <c r="K43" s="12" t="s">
        <v>64</v>
      </c>
      <c r="L43" s="15" t="s">
        <v>65</v>
      </c>
      <c r="M43" s="15" t="s">
        <v>334</v>
      </c>
      <c r="N43" s="4">
        <v>1.0</v>
      </c>
      <c r="O43" s="13"/>
      <c r="P43" s="13"/>
      <c r="Q43" s="2"/>
      <c r="R43" s="2"/>
      <c r="S43" s="2"/>
      <c r="T43" s="2"/>
      <c r="U43" s="2"/>
      <c r="V43" s="2"/>
      <c r="W43" s="2"/>
      <c r="X43" s="2"/>
      <c r="Y43" s="2"/>
      <c r="Z43" s="2"/>
    </row>
    <row r="44" ht="15.75" hidden="1" customHeight="1">
      <c r="A44" s="4" t="s">
        <v>335</v>
      </c>
      <c r="B44" s="4" t="s">
        <v>39</v>
      </c>
      <c r="C44" s="4" t="s">
        <v>336</v>
      </c>
      <c r="D44" s="4" t="s">
        <v>337</v>
      </c>
      <c r="E44" s="4" t="s">
        <v>152</v>
      </c>
      <c r="F44" s="10" t="s">
        <v>259</v>
      </c>
      <c r="G44" s="4" t="s">
        <v>28</v>
      </c>
      <c r="H44" s="4" t="s">
        <v>63</v>
      </c>
      <c r="I44" s="4"/>
      <c r="J44" s="11"/>
      <c r="K44" s="12" t="s">
        <v>64</v>
      </c>
      <c r="L44" s="15" t="s">
        <v>65</v>
      </c>
      <c r="M44" s="15" t="s">
        <v>154</v>
      </c>
      <c r="N44" s="4">
        <v>0.0</v>
      </c>
      <c r="O44" s="13"/>
      <c r="P44" s="13"/>
      <c r="Q44" s="2"/>
      <c r="R44" s="2"/>
      <c r="S44" s="2"/>
      <c r="T44" s="2"/>
      <c r="U44" s="2"/>
      <c r="V44" s="2"/>
      <c r="W44" s="2"/>
      <c r="X44" s="2"/>
      <c r="Y44" s="2"/>
      <c r="Z44" s="2"/>
    </row>
    <row r="45" ht="15.75" hidden="1" customHeight="1">
      <c r="A45" s="4" t="s">
        <v>338</v>
      </c>
      <c r="B45" s="4" t="s">
        <v>39</v>
      </c>
      <c r="C45" s="4" t="s">
        <v>339</v>
      </c>
      <c r="D45" s="4" t="s">
        <v>340</v>
      </c>
      <c r="E45" s="4" t="s">
        <v>158</v>
      </c>
      <c r="F45" s="10" t="s">
        <v>341</v>
      </c>
      <c r="G45" s="4" t="s">
        <v>28</v>
      </c>
      <c r="H45" s="4" t="s">
        <v>63</v>
      </c>
      <c r="I45" s="4" t="s">
        <v>264</v>
      </c>
      <c r="J45" s="11"/>
      <c r="K45" s="12" t="s">
        <v>64</v>
      </c>
      <c r="L45" s="15" t="s">
        <v>65</v>
      </c>
      <c r="M45" s="15" t="s">
        <v>342</v>
      </c>
      <c r="N45" s="4">
        <v>0.0</v>
      </c>
      <c r="O45" s="13"/>
      <c r="P45" s="13"/>
      <c r="Q45" s="2"/>
      <c r="R45" s="2"/>
      <c r="S45" s="2"/>
      <c r="T45" s="2"/>
      <c r="U45" s="2"/>
      <c r="V45" s="2"/>
      <c r="W45" s="2"/>
      <c r="X45" s="2"/>
      <c r="Y45" s="2"/>
      <c r="Z45" s="2"/>
    </row>
    <row r="46" ht="15.75" hidden="1" customHeight="1">
      <c r="A46" s="4" t="s">
        <v>343</v>
      </c>
      <c r="B46" s="4" t="s">
        <v>39</v>
      </c>
      <c r="C46" s="4" t="s">
        <v>344</v>
      </c>
      <c r="D46" s="4" t="s">
        <v>345</v>
      </c>
      <c r="E46" s="4" t="s">
        <v>346</v>
      </c>
      <c r="F46" s="10" t="s">
        <v>347</v>
      </c>
      <c r="G46" s="4" t="s">
        <v>27</v>
      </c>
      <c r="H46" s="4" t="s">
        <v>82</v>
      </c>
      <c r="I46" s="4"/>
      <c r="J46" s="11"/>
      <c r="K46" s="12" t="s">
        <v>64</v>
      </c>
      <c r="L46" s="15" t="s">
        <v>65</v>
      </c>
      <c r="M46" s="15" t="s">
        <v>348</v>
      </c>
      <c r="N46" s="4">
        <v>1.0</v>
      </c>
      <c r="O46" s="13"/>
      <c r="P46" s="13"/>
      <c r="Q46" s="2"/>
      <c r="R46" s="2"/>
      <c r="S46" s="2"/>
      <c r="T46" s="2"/>
      <c r="U46" s="2"/>
      <c r="V46" s="2"/>
      <c r="W46" s="2"/>
      <c r="X46" s="2"/>
      <c r="Y46" s="2"/>
      <c r="Z46" s="2"/>
    </row>
    <row r="47" ht="15.75" hidden="1" customHeight="1">
      <c r="A47" s="4" t="s">
        <v>349</v>
      </c>
      <c r="B47" s="4" t="s">
        <v>39</v>
      </c>
      <c r="C47" s="4" t="s">
        <v>350</v>
      </c>
      <c r="D47" s="4" t="s">
        <v>351</v>
      </c>
      <c r="E47" s="4" t="s">
        <v>152</v>
      </c>
      <c r="F47" s="10" t="s">
        <v>201</v>
      </c>
      <c r="G47" s="4" t="s">
        <v>28</v>
      </c>
      <c r="H47" s="4" t="s">
        <v>63</v>
      </c>
      <c r="I47" s="4"/>
      <c r="J47" s="11"/>
      <c r="K47" s="12" t="s">
        <v>64</v>
      </c>
      <c r="L47" s="15" t="s">
        <v>65</v>
      </c>
      <c r="M47" s="15" t="s">
        <v>154</v>
      </c>
      <c r="N47" s="4">
        <v>0.0</v>
      </c>
      <c r="O47" s="13"/>
      <c r="P47" s="13"/>
      <c r="Q47" s="2"/>
      <c r="R47" s="2"/>
      <c r="S47" s="2"/>
      <c r="T47" s="2"/>
      <c r="U47" s="2"/>
      <c r="V47" s="2"/>
      <c r="W47" s="2"/>
      <c r="X47" s="2"/>
      <c r="Y47" s="2"/>
      <c r="Z47" s="2"/>
    </row>
    <row r="48" ht="15.75" hidden="1" customHeight="1">
      <c r="A48" s="4" t="s">
        <v>352</v>
      </c>
      <c r="B48" s="4" t="s">
        <v>39</v>
      </c>
      <c r="C48" s="4" t="s">
        <v>353</v>
      </c>
      <c r="D48" s="4" t="s">
        <v>354</v>
      </c>
      <c r="E48" s="4" t="s">
        <v>158</v>
      </c>
      <c r="F48" s="10" t="s">
        <v>355</v>
      </c>
      <c r="G48" s="4" t="s">
        <v>29</v>
      </c>
      <c r="H48" s="4" t="s">
        <v>72</v>
      </c>
      <c r="I48" s="4" t="s">
        <v>141</v>
      </c>
      <c r="J48" s="11"/>
      <c r="K48" s="12" t="s">
        <v>64</v>
      </c>
      <c r="L48" s="15" t="s">
        <v>65</v>
      </c>
      <c r="M48" s="15" t="s">
        <v>356</v>
      </c>
      <c r="N48" s="4">
        <v>1.0</v>
      </c>
      <c r="O48" s="13"/>
      <c r="P48" s="13"/>
      <c r="Q48" s="2"/>
      <c r="R48" s="2"/>
      <c r="S48" s="2"/>
      <c r="T48" s="2"/>
      <c r="U48" s="2"/>
      <c r="V48" s="2"/>
      <c r="W48" s="2"/>
      <c r="X48" s="2"/>
      <c r="Y48" s="2"/>
      <c r="Z48" s="2"/>
    </row>
    <row r="49" ht="15.75" hidden="1" customHeight="1">
      <c r="A49" s="4" t="s">
        <v>357</v>
      </c>
      <c r="B49" s="4" t="s">
        <v>39</v>
      </c>
      <c r="C49" s="4" t="s">
        <v>358</v>
      </c>
      <c r="D49" s="4" t="s">
        <v>359</v>
      </c>
      <c r="E49" s="4" t="s">
        <v>152</v>
      </c>
      <c r="F49" s="10" t="s">
        <v>316</v>
      </c>
      <c r="G49" s="4" t="s">
        <v>28</v>
      </c>
      <c r="H49" s="4" t="s">
        <v>63</v>
      </c>
      <c r="I49" s="4"/>
      <c r="J49" s="11"/>
      <c r="K49" s="12" t="s">
        <v>64</v>
      </c>
      <c r="L49" s="15" t="s">
        <v>65</v>
      </c>
      <c r="M49" s="15" t="s">
        <v>154</v>
      </c>
      <c r="N49" s="4">
        <v>0.0</v>
      </c>
      <c r="O49" s="13"/>
      <c r="P49" s="13"/>
      <c r="Q49" s="2"/>
      <c r="R49" s="2"/>
      <c r="S49" s="2"/>
      <c r="T49" s="2"/>
      <c r="U49" s="2"/>
      <c r="V49" s="2"/>
      <c r="W49" s="2"/>
      <c r="X49" s="2"/>
      <c r="Y49" s="2"/>
      <c r="Z49" s="2"/>
    </row>
    <row r="50" ht="15.75" hidden="1" customHeight="1">
      <c r="A50" s="4" t="s">
        <v>360</v>
      </c>
      <c r="B50" s="4" t="s">
        <v>39</v>
      </c>
      <c r="C50" s="4" t="s">
        <v>361</v>
      </c>
      <c r="D50" s="4" t="s">
        <v>362</v>
      </c>
      <c r="E50" s="4" t="s">
        <v>158</v>
      </c>
      <c r="F50" s="10" t="s">
        <v>363</v>
      </c>
      <c r="G50" s="4" t="s">
        <v>28</v>
      </c>
      <c r="H50" s="4" t="s">
        <v>63</v>
      </c>
      <c r="I50" s="4" t="s">
        <v>264</v>
      </c>
      <c r="J50" s="11"/>
      <c r="K50" s="12" t="s">
        <v>64</v>
      </c>
      <c r="L50" s="15" t="s">
        <v>65</v>
      </c>
      <c r="M50" s="15" t="s">
        <v>364</v>
      </c>
      <c r="N50" s="4">
        <v>0.0</v>
      </c>
      <c r="O50" s="13"/>
      <c r="P50" s="13"/>
      <c r="Q50" s="2"/>
      <c r="R50" s="2"/>
      <c r="S50" s="2"/>
      <c r="T50" s="2"/>
      <c r="U50" s="2"/>
      <c r="V50" s="2"/>
      <c r="W50" s="2"/>
      <c r="X50" s="2"/>
      <c r="Y50" s="2"/>
      <c r="Z50" s="2"/>
    </row>
    <row r="51" ht="15.75" hidden="1" customHeight="1">
      <c r="A51" s="4" t="s">
        <v>365</v>
      </c>
      <c r="B51" s="4" t="s">
        <v>39</v>
      </c>
      <c r="C51" s="4" t="s">
        <v>366</v>
      </c>
      <c r="D51" s="4" t="s">
        <v>367</v>
      </c>
      <c r="E51" s="4" t="s">
        <v>368</v>
      </c>
      <c r="F51" s="10" t="s">
        <v>369</v>
      </c>
      <c r="G51" s="4" t="s">
        <v>29</v>
      </c>
      <c r="H51" s="4" t="s">
        <v>72</v>
      </c>
      <c r="I51" s="4"/>
      <c r="J51" s="15" t="s">
        <v>370</v>
      </c>
      <c r="K51" s="12" t="s">
        <v>74</v>
      </c>
      <c r="L51" s="15" t="s">
        <v>65</v>
      </c>
      <c r="M51" s="15" t="s">
        <v>371</v>
      </c>
      <c r="N51" s="4">
        <v>2.0</v>
      </c>
      <c r="O51" s="13"/>
      <c r="P51" s="14" t="s">
        <v>76</v>
      </c>
      <c r="Q51" s="2"/>
      <c r="R51" s="2"/>
      <c r="S51" s="2"/>
      <c r="T51" s="2"/>
      <c r="U51" s="2"/>
      <c r="V51" s="2"/>
      <c r="W51" s="2"/>
      <c r="X51" s="2"/>
      <c r="Y51" s="2"/>
      <c r="Z51" s="2"/>
    </row>
    <row r="52" ht="15.75" hidden="1" customHeight="1">
      <c r="A52" s="4" t="s">
        <v>372</v>
      </c>
      <c r="B52" s="4" t="s">
        <v>39</v>
      </c>
      <c r="C52" s="4" t="s">
        <v>373</v>
      </c>
      <c r="D52" s="4" t="s">
        <v>374</v>
      </c>
      <c r="E52" s="4" t="s">
        <v>375</v>
      </c>
      <c r="F52" s="10" t="s">
        <v>376</v>
      </c>
      <c r="G52" s="4" t="s">
        <v>29</v>
      </c>
      <c r="H52" s="4" t="s">
        <v>72</v>
      </c>
      <c r="I52" s="4"/>
      <c r="J52" s="11" t="s">
        <v>377</v>
      </c>
      <c r="K52" s="11" t="s">
        <v>240</v>
      </c>
      <c r="L52" s="13" t="s">
        <v>241</v>
      </c>
      <c r="M52" s="11" t="s">
        <v>378</v>
      </c>
      <c r="N52" s="4">
        <v>1.0</v>
      </c>
      <c r="O52" s="13"/>
      <c r="P52" s="13"/>
      <c r="Q52" s="2"/>
      <c r="R52" s="2"/>
      <c r="S52" s="2"/>
      <c r="T52" s="2"/>
      <c r="U52" s="2"/>
      <c r="V52" s="2"/>
      <c r="W52" s="2"/>
      <c r="X52" s="2"/>
      <c r="Y52" s="2"/>
      <c r="Z52" s="2"/>
    </row>
    <row r="53" ht="15.75" hidden="1" customHeight="1">
      <c r="A53" s="4" t="s">
        <v>379</v>
      </c>
      <c r="B53" s="4" t="s">
        <v>39</v>
      </c>
      <c r="C53" s="4" t="s">
        <v>380</v>
      </c>
      <c r="D53" s="4" t="s">
        <v>381</v>
      </c>
      <c r="E53" s="4" t="s">
        <v>382</v>
      </c>
      <c r="F53" s="10" t="s">
        <v>383</v>
      </c>
      <c r="G53" s="4" t="s">
        <v>29</v>
      </c>
      <c r="H53" s="4" t="s">
        <v>72</v>
      </c>
      <c r="I53" s="4"/>
      <c r="J53" s="12"/>
      <c r="K53" s="15" t="s">
        <v>64</v>
      </c>
      <c r="L53" s="15" t="s">
        <v>65</v>
      </c>
      <c r="M53" s="15" t="s">
        <v>384</v>
      </c>
      <c r="N53" s="4">
        <v>1.0</v>
      </c>
      <c r="O53" s="13"/>
      <c r="P53" s="14" t="s">
        <v>76</v>
      </c>
      <c r="Q53" s="2"/>
      <c r="R53" s="2"/>
      <c r="S53" s="2"/>
      <c r="T53" s="2"/>
      <c r="U53" s="2"/>
      <c r="V53" s="2"/>
      <c r="W53" s="2"/>
      <c r="X53" s="2"/>
      <c r="Y53" s="2"/>
      <c r="Z53" s="2"/>
    </row>
    <row r="54" ht="15.75" hidden="1" customHeight="1">
      <c r="A54" s="4" t="s">
        <v>385</v>
      </c>
      <c r="B54" s="4" t="s">
        <v>39</v>
      </c>
      <c r="C54" s="4" t="s">
        <v>386</v>
      </c>
      <c r="D54" s="4" t="s">
        <v>387</v>
      </c>
      <c r="E54" s="4" t="s">
        <v>388</v>
      </c>
      <c r="F54" s="10" t="s">
        <v>389</v>
      </c>
      <c r="G54" s="4" t="s">
        <v>29</v>
      </c>
      <c r="H54" s="4" t="s">
        <v>72</v>
      </c>
      <c r="I54" s="4"/>
      <c r="J54" s="12" t="s">
        <v>390</v>
      </c>
      <c r="K54" s="12" t="s">
        <v>74</v>
      </c>
      <c r="L54" s="15" t="s">
        <v>65</v>
      </c>
      <c r="M54" s="15" t="s">
        <v>391</v>
      </c>
      <c r="N54" s="4">
        <v>2.0</v>
      </c>
      <c r="O54" s="13"/>
      <c r="P54" s="14" t="s">
        <v>76</v>
      </c>
      <c r="Q54" s="2"/>
      <c r="R54" s="2"/>
      <c r="S54" s="2"/>
      <c r="T54" s="2"/>
      <c r="U54" s="2"/>
      <c r="V54" s="2"/>
      <c r="W54" s="2"/>
      <c r="X54" s="2"/>
      <c r="Y54" s="2"/>
      <c r="Z54" s="2"/>
    </row>
    <row r="55" ht="15.75" hidden="1" customHeight="1">
      <c r="A55" s="4" t="s">
        <v>392</v>
      </c>
      <c r="B55" s="4" t="s">
        <v>39</v>
      </c>
      <c r="C55" s="4" t="s">
        <v>393</v>
      </c>
      <c r="D55" s="4" t="s">
        <v>394</v>
      </c>
      <c r="E55" s="4" t="s">
        <v>152</v>
      </c>
      <c r="F55" s="10" t="s">
        <v>201</v>
      </c>
      <c r="G55" s="4" t="s">
        <v>28</v>
      </c>
      <c r="H55" s="4" t="s">
        <v>63</v>
      </c>
      <c r="I55" s="4"/>
      <c r="J55" s="11"/>
      <c r="K55" s="12" t="s">
        <v>64</v>
      </c>
      <c r="L55" s="15" t="s">
        <v>65</v>
      </c>
      <c r="M55" s="15" t="s">
        <v>154</v>
      </c>
      <c r="N55" s="4">
        <v>0.0</v>
      </c>
      <c r="O55" s="13"/>
      <c r="P55" s="13"/>
      <c r="Q55" s="2"/>
      <c r="R55" s="2"/>
      <c r="S55" s="2"/>
      <c r="T55" s="2"/>
      <c r="U55" s="2"/>
      <c r="V55" s="2"/>
      <c r="W55" s="2"/>
      <c r="X55" s="2"/>
      <c r="Y55" s="2"/>
      <c r="Z55" s="2"/>
    </row>
    <row r="56" ht="15.75" hidden="1" customHeight="1">
      <c r="A56" s="4" t="s">
        <v>395</v>
      </c>
      <c r="B56" s="4" t="s">
        <v>39</v>
      </c>
      <c r="C56" s="4" t="s">
        <v>396</v>
      </c>
      <c r="D56" s="4" t="s">
        <v>397</v>
      </c>
      <c r="E56" s="4" t="s">
        <v>158</v>
      </c>
      <c r="F56" s="10" t="s">
        <v>398</v>
      </c>
      <c r="G56" s="4" t="s">
        <v>28</v>
      </c>
      <c r="H56" s="4" t="s">
        <v>63</v>
      </c>
      <c r="I56" s="4" t="s">
        <v>264</v>
      </c>
      <c r="J56" s="11"/>
      <c r="K56" s="12" t="s">
        <v>64</v>
      </c>
      <c r="L56" s="15" t="s">
        <v>65</v>
      </c>
      <c r="M56" s="15" t="s">
        <v>399</v>
      </c>
      <c r="N56" s="4">
        <v>0.0</v>
      </c>
      <c r="O56" s="13"/>
      <c r="P56" s="13"/>
      <c r="Q56" s="2"/>
      <c r="R56" s="2"/>
      <c r="S56" s="2"/>
      <c r="T56" s="2"/>
      <c r="U56" s="2"/>
      <c r="V56" s="2"/>
      <c r="W56" s="2"/>
      <c r="X56" s="2"/>
      <c r="Y56" s="2"/>
      <c r="Z56" s="2"/>
    </row>
    <row r="57" ht="15.75" hidden="1" customHeight="1">
      <c r="A57" s="4" t="s">
        <v>400</v>
      </c>
      <c r="B57" s="4" t="s">
        <v>39</v>
      </c>
      <c r="C57" s="4" t="s">
        <v>401</v>
      </c>
      <c r="D57" s="4" t="s">
        <v>402</v>
      </c>
      <c r="E57" s="4" t="s">
        <v>403</v>
      </c>
      <c r="F57" s="10" t="s">
        <v>404</v>
      </c>
      <c r="G57" s="4" t="s">
        <v>29</v>
      </c>
      <c r="H57" s="4" t="s">
        <v>72</v>
      </c>
      <c r="I57" s="4"/>
      <c r="J57" s="11" t="s">
        <v>405</v>
      </c>
      <c r="K57" s="11" t="s">
        <v>240</v>
      </c>
      <c r="L57" s="13" t="s">
        <v>241</v>
      </c>
      <c r="M57" s="11" t="s">
        <v>406</v>
      </c>
      <c r="N57" s="4">
        <v>4.0</v>
      </c>
      <c r="O57" s="13"/>
      <c r="P57" s="13"/>
      <c r="Q57" s="2"/>
      <c r="R57" s="2"/>
      <c r="S57" s="2"/>
      <c r="T57" s="2"/>
      <c r="U57" s="2"/>
      <c r="V57" s="2"/>
      <c r="W57" s="2"/>
      <c r="X57" s="2"/>
      <c r="Y57" s="2"/>
      <c r="Z57" s="2"/>
    </row>
    <row r="58" ht="15.75" hidden="1" customHeight="1">
      <c r="A58" s="4" t="s">
        <v>407</v>
      </c>
      <c r="B58" s="4" t="s">
        <v>39</v>
      </c>
      <c r="C58" s="4" t="s">
        <v>408</v>
      </c>
      <c r="D58" s="4" t="s">
        <v>409</v>
      </c>
      <c r="E58" s="4" t="s">
        <v>410</v>
      </c>
      <c r="F58" s="10" t="s">
        <v>411</v>
      </c>
      <c r="G58" s="4" t="s">
        <v>28</v>
      </c>
      <c r="H58" s="4" t="s">
        <v>63</v>
      </c>
      <c r="I58" s="4"/>
      <c r="J58" s="11"/>
      <c r="K58" s="12" t="s">
        <v>64</v>
      </c>
      <c r="L58" s="15" t="s">
        <v>65</v>
      </c>
      <c r="M58" s="15" t="s">
        <v>154</v>
      </c>
      <c r="N58" s="4">
        <v>0.0</v>
      </c>
      <c r="O58" s="13"/>
      <c r="P58" s="13"/>
      <c r="Q58" s="2"/>
      <c r="R58" s="2"/>
      <c r="S58" s="2"/>
      <c r="T58" s="2"/>
      <c r="U58" s="2"/>
      <c r="V58" s="2"/>
      <c r="W58" s="2"/>
      <c r="X58" s="2"/>
      <c r="Y58" s="2"/>
      <c r="Z58" s="2"/>
    </row>
    <row r="59" ht="15.75" hidden="1" customHeight="1">
      <c r="A59" s="4" t="s">
        <v>412</v>
      </c>
      <c r="B59" s="4" t="s">
        <v>39</v>
      </c>
      <c r="C59" s="4" t="s">
        <v>413</v>
      </c>
      <c r="D59" s="4" t="s">
        <v>414</v>
      </c>
      <c r="E59" s="4" t="s">
        <v>158</v>
      </c>
      <c r="F59" s="10" t="s">
        <v>415</v>
      </c>
      <c r="G59" s="4" t="s">
        <v>29</v>
      </c>
      <c r="H59" s="4" t="s">
        <v>72</v>
      </c>
      <c r="I59" s="4" t="s">
        <v>264</v>
      </c>
      <c r="J59" s="11"/>
      <c r="K59" s="12" t="s">
        <v>64</v>
      </c>
      <c r="L59" s="15" t="s">
        <v>65</v>
      </c>
      <c r="M59" s="15" t="s">
        <v>416</v>
      </c>
      <c r="N59" s="4">
        <v>1.0</v>
      </c>
      <c r="O59" s="13"/>
      <c r="P59" s="13"/>
      <c r="Q59" s="2"/>
      <c r="R59" s="2"/>
      <c r="S59" s="2"/>
      <c r="T59" s="2"/>
      <c r="U59" s="2"/>
      <c r="V59" s="2"/>
      <c r="W59" s="2"/>
      <c r="X59" s="2"/>
      <c r="Y59" s="2"/>
      <c r="Z59" s="2"/>
    </row>
    <row r="60" ht="15.75" hidden="1" customHeight="1">
      <c r="A60" s="4" t="s">
        <v>417</v>
      </c>
      <c r="B60" s="4" t="s">
        <v>39</v>
      </c>
      <c r="C60" s="4" t="s">
        <v>418</v>
      </c>
      <c r="D60" s="4" t="s">
        <v>419</v>
      </c>
      <c r="E60" s="4" t="s">
        <v>152</v>
      </c>
      <c r="F60" s="10" t="s">
        <v>201</v>
      </c>
      <c r="G60" s="4" t="s">
        <v>28</v>
      </c>
      <c r="H60" s="4" t="s">
        <v>63</v>
      </c>
      <c r="I60" s="4"/>
      <c r="J60" s="11"/>
      <c r="K60" s="12" t="s">
        <v>64</v>
      </c>
      <c r="L60" s="15" t="s">
        <v>65</v>
      </c>
      <c r="M60" s="15" t="s">
        <v>154</v>
      </c>
      <c r="N60" s="4">
        <v>0.0</v>
      </c>
      <c r="O60" s="13"/>
      <c r="P60" s="13"/>
      <c r="Q60" s="2"/>
      <c r="R60" s="2"/>
      <c r="S60" s="2"/>
      <c r="T60" s="2"/>
      <c r="U60" s="2"/>
      <c r="V60" s="2"/>
      <c r="W60" s="2"/>
      <c r="X60" s="2"/>
      <c r="Y60" s="2"/>
      <c r="Z60" s="2"/>
    </row>
    <row r="61" ht="15.75" hidden="1" customHeight="1">
      <c r="A61" s="4" t="s">
        <v>420</v>
      </c>
      <c r="B61" s="4" t="s">
        <v>39</v>
      </c>
      <c r="C61" s="4" t="s">
        <v>421</v>
      </c>
      <c r="D61" s="4" t="s">
        <v>422</v>
      </c>
      <c r="E61" s="4" t="s">
        <v>158</v>
      </c>
      <c r="F61" s="10" t="s">
        <v>423</v>
      </c>
      <c r="G61" s="4" t="s">
        <v>29</v>
      </c>
      <c r="H61" s="4" t="s">
        <v>72</v>
      </c>
      <c r="I61" s="4" t="s">
        <v>141</v>
      </c>
      <c r="J61" s="11"/>
      <c r="K61" s="12" t="s">
        <v>64</v>
      </c>
      <c r="L61" s="15" t="s">
        <v>65</v>
      </c>
      <c r="M61" s="15" t="s">
        <v>424</v>
      </c>
      <c r="N61" s="4">
        <v>1.0</v>
      </c>
      <c r="O61" s="13"/>
      <c r="P61" s="13"/>
      <c r="Q61" s="2"/>
      <c r="R61" s="2"/>
      <c r="S61" s="2"/>
      <c r="T61" s="2"/>
      <c r="U61" s="2"/>
      <c r="V61" s="2"/>
      <c r="W61" s="2"/>
      <c r="X61" s="2"/>
      <c r="Y61" s="2"/>
      <c r="Z61" s="2"/>
    </row>
    <row r="62" ht="15.75" hidden="1" customHeight="1">
      <c r="A62" s="4" t="s">
        <v>425</v>
      </c>
      <c r="B62" s="4" t="s">
        <v>39</v>
      </c>
      <c r="C62" s="4" t="s">
        <v>426</v>
      </c>
      <c r="D62" s="4" t="s">
        <v>427</v>
      </c>
      <c r="E62" s="4" t="s">
        <v>428</v>
      </c>
      <c r="F62" s="10" t="s">
        <v>429</v>
      </c>
      <c r="G62" s="4" t="s">
        <v>29</v>
      </c>
      <c r="H62" s="4" t="s">
        <v>72</v>
      </c>
      <c r="I62" s="4"/>
      <c r="J62" s="11"/>
      <c r="K62" s="12" t="s">
        <v>64</v>
      </c>
      <c r="L62" s="15" t="s">
        <v>65</v>
      </c>
      <c r="M62" s="15" t="s">
        <v>430</v>
      </c>
      <c r="N62" s="4">
        <v>1.0</v>
      </c>
      <c r="O62" s="13"/>
      <c r="P62" s="13"/>
      <c r="Q62" s="2"/>
      <c r="R62" s="2"/>
      <c r="S62" s="2"/>
      <c r="T62" s="2"/>
      <c r="U62" s="2"/>
      <c r="V62" s="2"/>
      <c r="W62" s="2"/>
      <c r="X62" s="2"/>
      <c r="Y62" s="2"/>
      <c r="Z62" s="2"/>
    </row>
    <row r="63" ht="15.75" hidden="1" customHeight="1">
      <c r="A63" s="4" t="s">
        <v>431</v>
      </c>
      <c r="B63" s="4" t="s">
        <v>39</v>
      </c>
      <c r="C63" s="4" t="s">
        <v>432</v>
      </c>
      <c r="D63" s="4" t="s">
        <v>433</v>
      </c>
      <c r="E63" s="4" t="s">
        <v>434</v>
      </c>
      <c r="F63" s="10" t="s">
        <v>435</v>
      </c>
      <c r="G63" s="4" t="s">
        <v>29</v>
      </c>
      <c r="H63" s="4" t="s">
        <v>72</v>
      </c>
      <c r="I63" s="4"/>
      <c r="J63" s="11"/>
      <c r="K63" s="12" t="s">
        <v>64</v>
      </c>
      <c r="L63" s="15" t="s">
        <v>65</v>
      </c>
      <c r="M63" s="15" t="s">
        <v>436</v>
      </c>
      <c r="N63" s="4">
        <v>4.0</v>
      </c>
      <c r="O63" s="13"/>
      <c r="P63" s="13"/>
      <c r="Q63" s="2"/>
      <c r="R63" s="2"/>
      <c r="S63" s="2"/>
      <c r="T63" s="2"/>
      <c r="U63" s="2"/>
      <c r="V63" s="2"/>
      <c r="W63" s="2"/>
      <c r="X63" s="2"/>
      <c r="Y63" s="2"/>
      <c r="Z63" s="2"/>
    </row>
    <row r="64" ht="15.75" hidden="1" customHeight="1">
      <c r="A64" s="4" t="s">
        <v>437</v>
      </c>
      <c r="B64" s="4" t="s">
        <v>39</v>
      </c>
      <c r="C64" s="4" t="s">
        <v>438</v>
      </c>
      <c r="D64" s="4" t="s">
        <v>439</v>
      </c>
      <c r="E64" s="4" t="s">
        <v>152</v>
      </c>
      <c r="F64" s="10" t="s">
        <v>259</v>
      </c>
      <c r="G64" s="4" t="s">
        <v>28</v>
      </c>
      <c r="H64" s="4" t="s">
        <v>63</v>
      </c>
      <c r="I64" s="4"/>
      <c r="J64" s="11"/>
      <c r="K64" s="12" t="s">
        <v>64</v>
      </c>
      <c r="L64" s="15" t="s">
        <v>65</v>
      </c>
      <c r="M64" s="15" t="s">
        <v>154</v>
      </c>
      <c r="N64" s="4">
        <v>0.0</v>
      </c>
      <c r="O64" s="13"/>
      <c r="P64" s="13"/>
      <c r="Q64" s="2"/>
      <c r="R64" s="2"/>
      <c r="S64" s="2"/>
      <c r="T64" s="2"/>
      <c r="U64" s="2"/>
      <c r="V64" s="2"/>
      <c r="W64" s="2"/>
      <c r="X64" s="2"/>
      <c r="Y64" s="2"/>
      <c r="Z64" s="2"/>
    </row>
    <row r="65" ht="15.75" hidden="1" customHeight="1">
      <c r="A65" s="4" t="s">
        <v>440</v>
      </c>
      <c r="B65" s="4" t="s">
        <v>39</v>
      </c>
      <c r="C65" s="4" t="s">
        <v>441</v>
      </c>
      <c r="D65" s="4" t="s">
        <v>442</v>
      </c>
      <c r="E65" s="4" t="s">
        <v>158</v>
      </c>
      <c r="F65" s="10" t="s">
        <v>443</v>
      </c>
      <c r="G65" s="4" t="s">
        <v>29</v>
      </c>
      <c r="H65" s="4" t="s">
        <v>72</v>
      </c>
      <c r="I65" s="4" t="s">
        <v>264</v>
      </c>
      <c r="J65" s="11"/>
      <c r="K65" s="12" t="s">
        <v>64</v>
      </c>
      <c r="L65" s="15" t="s">
        <v>65</v>
      </c>
      <c r="M65" s="15" t="s">
        <v>444</v>
      </c>
      <c r="N65" s="4">
        <v>1.0</v>
      </c>
      <c r="O65" s="13"/>
      <c r="P65" s="13"/>
      <c r="Q65" s="2"/>
      <c r="R65" s="2"/>
      <c r="S65" s="2"/>
      <c r="T65" s="2"/>
      <c r="U65" s="2"/>
      <c r="V65" s="2"/>
      <c r="W65" s="2"/>
      <c r="X65" s="2"/>
      <c r="Y65" s="2"/>
      <c r="Z65" s="2"/>
    </row>
    <row r="66" ht="15.75" hidden="1" customHeight="1">
      <c r="A66" s="4" t="s">
        <v>445</v>
      </c>
      <c r="B66" s="4" t="s">
        <v>39</v>
      </c>
      <c r="C66" s="4" t="s">
        <v>446</v>
      </c>
      <c r="D66" s="4" t="s">
        <v>447</v>
      </c>
      <c r="E66" s="4" t="s">
        <v>152</v>
      </c>
      <c r="F66" s="10" t="s">
        <v>225</v>
      </c>
      <c r="G66" s="4" t="s">
        <v>28</v>
      </c>
      <c r="H66" s="4" t="s">
        <v>63</v>
      </c>
      <c r="I66" s="4"/>
      <c r="J66" s="11"/>
      <c r="K66" s="12" t="s">
        <v>64</v>
      </c>
      <c r="L66" s="15" t="s">
        <v>65</v>
      </c>
      <c r="M66" s="15" t="s">
        <v>154</v>
      </c>
      <c r="N66" s="4">
        <v>0.0</v>
      </c>
      <c r="O66" s="13"/>
      <c r="P66" s="13"/>
      <c r="Q66" s="2"/>
      <c r="R66" s="2"/>
      <c r="S66" s="2"/>
      <c r="T66" s="2"/>
      <c r="U66" s="2"/>
      <c r="V66" s="2"/>
      <c r="W66" s="2"/>
      <c r="X66" s="2"/>
      <c r="Y66" s="2"/>
      <c r="Z66" s="2"/>
    </row>
    <row r="67" ht="15.75" hidden="1" customHeight="1">
      <c r="A67" s="4" t="s">
        <v>448</v>
      </c>
      <c r="B67" s="4" t="s">
        <v>39</v>
      </c>
      <c r="C67" s="4" t="s">
        <v>449</v>
      </c>
      <c r="D67" s="4" t="s">
        <v>450</v>
      </c>
      <c r="E67" s="4" t="s">
        <v>158</v>
      </c>
      <c r="F67" s="10" t="s">
        <v>451</v>
      </c>
      <c r="G67" s="4" t="s">
        <v>29</v>
      </c>
      <c r="H67" s="4" t="s">
        <v>72</v>
      </c>
      <c r="I67" s="4" t="s">
        <v>141</v>
      </c>
      <c r="J67" s="11"/>
      <c r="K67" s="12" t="s">
        <v>64</v>
      </c>
      <c r="L67" s="15" t="s">
        <v>65</v>
      </c>
      <c r="M67" s="15" t="s">
        <v>424</v>
      </c>
      <c r="N67" s="4">
        <v>1.0</v>
      </c>
      <c r="O67" s="13"/>
      <c r="P67" s="13"/>
      <c r="Q67" s="2"/>
      <c r="R67" s="2"/>
      <c r="S67" s="2"/>
      <c r="T67" s="2"/>
      <c r="U67" s="2"/>
      <c r="V67" s="2"/>
      <c r="W67" s="2"/>
      <c r="X67" s="2"/>
      <c r="Y67" s="2"/>
      <c r="Z67" s="2"/>
    </row>
    <row r="68" ht="15.75" hidden="1" customHeight="1">
      <c r="A68" s="4" t="s">
        <v>452</v>
      </c>
      <c r="B68" s="4" t="s">
        <v>39</v>
      </c>
      <c r="C68" s="4" t="s">
        <v>453</v>
      </c>
      <c r="D68" s="4" t="s">
        <v>454</v>
      </c>
      <c r="E68" s="4" t="s">
        <v>139</v>
      </c>
      <c r="F68" s="10" t="s">
        <v>455</v>
      </c>
      <c r="G68" s="4" t="s">
        <v>29</v>
      </c>
      <c r="H68" s="4" t="s">
        <v>72</v>
      </c>
      <c r="I68" s="4" t="s">
        <v>141</v>
      </c>
      <c r="J68" s="11"/>
      <c r="K68" s="12" t="s">
        <v>64</v>
      </c>
      <c r="L68" s="15" t="s">
        <v>65</v>
      </c>
      <c r="M68" s="15" t="s">
        <v>456</v>
      </c>
      <c r="N68" s="4">
        <v>1.0</v>
      </c>
      <c r="O68" s="13"/>
      <c r="P68" s="13"/>
      <c r="Q68" s="2"/>
      <c r="R68" s="2"/>
      <c r="S68" s="2"/>
      <c r="T68" s="2"/>
      <c r="U68" s="2"/>
      <c r="V68" s="2"/>
      <c r="W68" s="2"/>
      <c r="X68" s="2"/>
      <c r="Y68" s="2"/>
      <c r="Z68" s="2"/>
    </row>
    <row r="69" ht="15.75" hidden="1" customHeight="1">
      <c r="A69" s="4" t="s">
        <v>457</v>
      </c>
      <c r="B69" s="4" t="s">
        <v>39</v>
      </c>
      <c r="C69" s="4" t="s">
        <v>458</v>
      </c>
      <c r="D69" s="4" t="s">
        <v>459</v>
      </c>
      <c r="E69" s="4" t="s">
        <v>152</v>
      </c>
      <c r="F69" s="10" t="s">
        <v>225</v>
      </c>
      <c r="G69" s="4" t="s">
        <v>28</v>
      </c>
      <c r="H69" s="4" t="s">
        <v>63</v>
      </c>
      <c r="I69" s="4"/>
      <c r="J69" s="11"/>
      <c r="K69" s="12" t="s">
        <v>64</v>
      </c>
      <c r="L69" s="15" t="s">
        <v>65</v>
      </c>
      <c r="M69" s="15" t="s">
        <v>154</v>
      </c>
      <c r="N69" s="4">
        <v>0.0</v>
      </c>
      <c r="O69" s="13"/>
      <c r="P69" s="13"/>
      <c r="Q69" s="2"/>
      <c r="R69" s="2"/>
      <c r="S69" s="2"/>
      <c r="T69" s="2"/>
      <c r="U69" s="2"/>
      <c r="V69" s="2"/>
      <c r="W69" s="2"/>
      <c r="X69" s="2"/>
      <c r="Y69" s="2"/>
      <c r="Z69" s="2"/>
    </row>
    <row r="70" ht="15.75" hidden="1" customHeight="1">
      <c r="A70" s="4" t="s">
        <v>460</v>
      </c>
      <c r="B70" s="4" t="s">
        <v>39</v>
      </c>
      <c r="C70" s="4" t="s">
        <v>461</v>
      </c>
      <c r="D70" s="4" t="s">
        <v>462</v>
      </c>
      <c r="E70" s="4" t="s">
        <v>158</v>
      </c>
      <c r="F70" s="10" t="s">
        <v>463</v>
      </c>
      <c r="G70" s="4" t="s">
        <v>28</v>
      </c>
      <c r="H70" s="4" t="s">
        <v>63</v>
      </c>
      <c r="I70" s="4" t="s">
        <v>141</v>
      </c>
      <c r="J70" s="11"/>
      <c r="K70" s="12" t="s">
        <v>64</v>
      </c>
      <c r="L70" s="15" t="s">
        <v>65</v>
      </c>
      <c r="M70" s="15" t="s">
        <v>464</v>
      </c>
      <c r="N70" s="4">
        <v>0.0</v>
      </c>
      <c r="O70" s="13"/>
      <c r="P70" s="13"/>
      <c r="Q70" s="2"/>
      <c r="R70" s="2"/>
      <c r="S70" s="2"/>
      <c r="T70" s="2"/>
      <c r="U70" s="2"/>
      <c r="V70" s="2"/>
      <c r="W70" s="2"/>
      <c r="X70" s="2"/>
      <c r="Y70" s="2"/>
      <c r="Z70" s="2"/>
    </row>
    <row r="71" ht="15.75" hidden="1" customHeight="1">
      <c r="A71" s="4" t="s">
        <v>465</v>
      </c>
      <c r="B71" s="4" t="s">
        <v>39</v>
      </c>
      <c r="C71" s="4" t="s">
        <v>466</v>
      </c>
      <c r="D71" s="4" t="s">
        <v>467</v>
      </c>
      <c r="E71" s="4" t="s">
        <v>434</v>
      </c>
      <c r="F71" s="10" t="s">
        <v>468</v>
      </c>
      <c r="G71" s="4" t="s">
        <v>28</v>
      </c>
      <c r="H71" s="4" t="s">
        <v>63</v>
      </c>
      <c r="I71" s="4"/>
      <c r="J71" s="11"/>
      <c r="K71" s="12" t="s">
        <v>64</v>
      </c>
      <c r="L71" s="15" t="s">
        <v>65</v>
      </c>
      <c r="M71" s="15" t="s">
        <v>469</v>
      </c>
      <c r="N71" s="4">
        <v>0.0</v>
      </c>
      <c r="O71" s="13"/>
      <c r="P71" s="13"/>
      <c r="Q71" s="2"/>
      <c r="R71" s="2"/>
      <c r="S71" s="2"/>
      <c r="T71" s="2"/>
      <c r="U71" s="2"/>
      <c r="V71" s="2"/>
      <c r="W71" s="2"/>
      <c r="X71" s="2"/>
      <c r="Y71" s="2"/>
      <c r="Z71" s="2"/>
    </row>
    <row r="72" ht="15.75" hidden="1" customHeight="1">
      <c r="A72" s="4" t="s">
        <v>470</v>
      </c>
      <c r="B72" s="4" t="s">
        <v>39</v>
      </c>
      <c r="C72" s="4" t="s">
        <v>471</v>
      </c>
      <c r="D72" s="4" t="s">
        <v>472</v>
      </c>
      <c r="E72" s="4" t="s">
        <v>473</v>
      </c>
      <c r="F72" s="10" t="s">
        <v>474</v>
      </c>
      <c r="G72" s="4" t="s">
        <v>29</v>
      </c>
      <c r="H72" s="4" t="s">
        <v>175</v>
      </c>
      <c r="I72" s="4"/>
      <c r="J72" s="11"/>
      <c r="K72" s="12" t="s">
        <v>64</v>
      </c>
      <c r="L72" s="15" t="s">
        <v>65</v>
      </c>
      <c r="M72" s="15" t="s">
        <v>176</v>
      </c>
      <c r="N72" s="4">
        <v>4.0</v>
      </c>
      <c r="O72" s="13"/>
      <c r="P72" s="13"/>
      <c r="Q72" s="2"/>
      <c r="R72" s="2"/>
      <c r="S72" s="2"/>
      <c r="T72" s="2"/>
      <c r="U72" s="2"/>
      <c r="V72" s="2"/>
      <c r="W72" s="2"/>
      <c r="X72" s="2"/>
      <c r="Y72" s="2"/>
      <c r="Z72" s="2"/>
    </row>
    <row r="73" ht="15.75" hidden="1" customHeight="1">
      <c r="A73" s="4" t="s">
        <v>475</v>
      </c>
      <c r="B73" s="4" t="s">
        <v>39</v>
      </c>
      <c r="C73" s="4" t="s">
        <v>476</v>
      </c>
      <c r="D73" s="4" t="s">
        <v>477</v>
      </c>
      <c r="E73" s="4" t="s">
        <v>180</v>
      </c>
      <c r="F73" s="10" t="s">
        <v>181</v>
      </c>
      <c r="G73" s="4" t="s">
        <v>27</v>
      </c>
      <c r="H73" s="4" t="s">
        <v>182</v>
      </c>
      <c r="I73" s="4"/>
      <c r="J73" s="11"/>
      <c r="K73" s="12" t="s">
        <v>64</v>
      </c>
      <c r="L73" s="15" t="s">
        <v>65</v>
      </c>
      <c r="M73" s="15" t="s">
        <v>183</v>
      </c>
      <c r="N73" s="4">
        <v>1.0</v>
      </c>
      <c r="O73" s="13"/>
      <c r="P73" s="13"/>
      <c r="Q73" s="2"/>
      <c r="R73" s="2"/>
      <c r="S73" s="2"/>
      <c r="T73" s="2"/>
      <c r="U73" s="2"/>
      <c r="V73" s="2"/>
      <c r="W73" s="2"/>
      <c r="X73" s="2"/>
      <c r="Y73" s="2"/>
      <c r="Z73" s="2"/>
    </row>
    <row r="74" ht="15.75" hidden="1" customHeight="1">
      <c r="A74" s="4" t="s">
        <v>478</v>
      </c>
      <c r="B74" s="4" t="s">
        <v>39</v>
      </c>
      <c r="C74" s="4" t="s">
        <v>479</v>
      </c>
      <c r="D74" s="4" t="s">
        <v>480</v>
      </c>
      <c r="E74" s="4" t="s">
        <v>187</v>
      </c>
      <c r="F74" s="10" t="s">
        <v>481</v>
      </c>
      <c r="G74" s="4" t="s">
        <v>29</v>
      </c>
      <c r="H74" s="4" t="s">
        <v>196</v>
      </c>
      <c r="I74" s="4" t="s">
        <v>141</v>
      </c>
      <c r="J74" s="11"/>
      <c r="K74" s="12" t="s">
        <v>64</v>
      </c>
      <c r="L74" s="15" t="s">
        <v>65</v>
      </c>
      <c r="M74" s="15" t="s">
        <v>482</v>
      </c>
      <c r="N74" s="4">
        <v>5.0</v>
      </c>
      <c r="O74" s="13"/>
      <c r="P74" s="13"/>
      <c r="Q74" s="2"/>
      <c r="R74" s="2"/>
      <c r="S74" s="2"/>
      <c r="T74" s="2"/>
      <c r="U74" s="2"/>
      <c r="V74" s="2"/>
      <c r="W74" s="2"/>
      <c r="X74" s="2"/>
      <c r="Y74" s="2"/>
      <c r="Z74" s="2"/>
    </row>
    <row r="75" ht="15.75" hidden="1" customHeight="1">
      <c r="A75" s="4" t="s">
        <v>483</v>
      </c>
      <c r="B75" s="4" t="s">
        <v>39</v>
      </c>
      <c r="C75" s="4" t="s">
        <v>484</v>
      </c>
      <c r="D75" s="4" t="s">
        <v>485</v>
      </c>
      <c r="E75" s="4" t="s">
        <v>152</v>
      </c>
      <c r="F75" s="10" t="s">
        <v>201</v>
      </c>
      <c r="G75" s="4" t="s">
        <v>28</v>
      </c>
      <c r="H75" s="4" t="s">
        <v>63</v>
      </c>
      <c r="I75" s="4"/>
      <c r="J75" s="11"/>
      <c r="K75" s="12" t="s">
        <v>64</v>
      </c>
      <c r="L75" s="15" t="s">
        <v>65</v>
      </c>
      <c r="M75" s="15" t="s">
        <v>154</v>
      </c>
      <c r="N75" s="4">
        <v>0.0</v>
      </c>
      <c r="O75" s="13"/>
      <c r="P75" s="13"/>
      <c r="Q75" s="2"/>
      <c r="R75" s="2"/>
      <c r="S75" s="2"/>
      <c r="T75" s="2"/>
      <c r="U75" s="2"/>
      <c r="V75" s="2"/>
      <c r="W75" s="2"/>
      <c r="X75" s="2"/>
      <c r="Y75" s="2"/>
      <c r="Z75" s="2"/>
    </row>
    <row r="76" ht="15.75" hidden="1" customHeight="1">
      <c r="A76" s="4" t="s">
        <v>486</v>
      </c>
      <c r="B76" s="4" t="s">
        <v>39</v>
      </c>
      <c r="C76" s="4" t="s">
        <v>487</v>
      </c>
      <c r="D76" s="4" t="s">
        <v>488</v>
      </c>
      <c r="E76" s="4" t="s">
        <v>158</v>
      </c>
      <c r="F76" s="10" t="s">
        <v>489</v>
      </c>
      <c r="G76" s="4" t="s">
        <v>29</v>
      </c>
      <c r="H76" s="4" t="s">
        <v>72</v>
      </c>
      <c r="I76" s="4" t="s">
        <v>490</v>
      </c>
      <c r="J76" s="11"/>
      <c r="K76" s="12" t="s">
        <v>64</v>
      </c>
      <c r="L76" s="15" t="s">
        <v>65</v>
      </c>
      <c r="M76" s="15" t="s">
        <v>491</v>
      </c>
      <c r="N76" s="4">
        <v>1.0</v>
      </c>
      <c r="O76" s="13"/>
      <c r="P76" s="13"/>
      <c r="Q76" s="2"/>
      <c r="R76" s="2"/>
      <c r="S76" s="2"/>
      <c r="T76" s="2"/>
      <c r="U76" s="2"/>
      <c r="V76" s="2"/>
      <c r="W76" s="2"/>
      <c r="X76" s="2"/>
      <c r="Y76" s="2"/>
      <c r="Z76" s="2"/>
    </row>
    <row r="77" ht="15.75" hidden="1" customHeight="1">
      <c r="A77" s="4" t="s">
        <v>492</v>
      </c>
      <c r="B77" s="4" t="s">
        <v>40</v>
      </c>
      <c r="C77" s="4" t="s">
        <v>493</v>
      </c>
      <c r="D77" s="4" t="s">
        <v>494</v>
      </c>
      <c r="E77" s="4" t="s">
        <v>495</v>
      </c>
      <c r="F77" s="10" t="s">
        <v>496</v>
      </c>
      <c r="G77" s="4" t="s">
        <v>27</v>
      </c>
      <c r="H77" s="4" t="s">
        <v>497</v>
      </c>
      <c r="I77" s="4"/>
      <c r="J77" s="11" t="s">
        <v>498</v>
      </c>
      <c r="K77" s="11" t="s">
        <v>240</v>
      </c>
      <c r="L77" s="13" t="s">
        <v>241</v>
      </c>
      <c r="M77" s="11" t="s">
        <v>499</v>
      </c>
      <c r="N77" s="4">
        <v>1.0</v>
      </c>
      <c r="O77" s="13"/>
      <c r="P77" s="13"/>
      <c r="Q77" s="2"/>
      <c r="R77" s="2"/>
      <c r="S77" s="2"/>
      <c r="T77" s="2"/>
      <c r="U77" s="2"/>
      <c r="V77" s="2"/>
      <c r="W77" s="2"/>
      <c r="X77" s="2"/>
      <c r="Y77" s="2"/>
      <c r="Z77" s="2"/>
    </row>
    <row r="78" ht="15.75" hidden="1" customHeight="1">
      <c r="A78" s="4" t="s">
        <v>500</v>
      </c>
      <c r="B78" s="4" t="s">
        <v>40</v>
      </c>
      <c r="C78" s="4" t="s">
        <v>501</v>
      </c>
      <c r="D78" s="4" t="s">
        <v>502</v>
      </c>
      <c r="E78" s="4" t="s">
        <v>503</v>
      </c>
      <c r="F78" s="10" t="s">
        <v>504</v>
      </c>
      <c r="G78" s="4" t="s">
        <v>27</v>
      </c>
      <c r="H78" s="4" t="s">
        <v>497</v>
      </c>
      <c r="I78" s="4"/>
      <c r="J78" s="11" t="s">
        <v>505</v>
      </c>
      <c r="K78" s="11" t="s">
        <v>240</v>
      </c>
      <c r="L78" s="13" t="s">
        <v>241</v>
      </c>
      <c r="M78" s="11" t="s">
        <v>499</v>
      </c>
      <c r="N78" s="4">
        <v>1.0</v>
      </c>
      <c r="O78" s="13"/>
      <c r="P78" s="13"/>
      <c r="Q78" s="2"/>
      <c r="R78" s="2"/>
      <c r="S78" s="2"/>
      <c r="T78" s="2"/>
      <c r="U78" s="2"/>
      <c r="V78" s="2"/>
      <c r="W78" s="2"/>
      <c r="X78" s="2"/>
      <c r="Y78" s="2"/>
      <c r="Z78" s="2"/>
    </row>
    <row r="79" ht="15.75" hidden="1" customHeight="1">
      <c r="A79" s="4" t="s">
        <v>506</v>
      </c>
      <c r="B79" s="4" t="s">
        <v>40</v>
      </c>
      <c r="C79" s="4" t="s">
        <v>507</v>
      </c>
      <c r="D79" s="4" t="s">
        <v>508</v>
      </c>
      <c r="E79" s="4" t="s">
        <v>509</v>
      </c>
      <c r="F79" s="10" t="s">
        <v>510</v>
      </c>
      <c r="G79" s="4" t="s">
        <v>27</v>
      </c>
      <c r="H79" s="4" t="s">
        <v>497</v>
      </c>
      <c r="I79" s="4"/>
      <c r="J79" s="11" t="s">
        <v>511</v>
      </c>
      <c r="K79" s="11" t="s">
        <v>240</v>
      </c>
      <c r="L79" s="13" t="s">
        <v>241</v>
      </c>
      <c r="M79" s="11" t="s">
        <v>499</v>
      </c>
      <c r="N79" s="4">
        <v>1.0</v>
      </c>
      <c r="O79" s="13"/>
      <c r="P79" s="13"/>
      <c r="Q79" s="2"/>
      <c r="R79" s="2"/>
      <c r="S79" s="2"/>
      <c r="T79" s="2"/>
      <c r="U79" s="2"/>
      <c r="V79" s="2"/>
      <c r="W79" s="2"/>
      <c r="X79" s="2"/>
      <c r="Y79" s="2"/>
      <c r="Z79" s="2"/>
    </row>
    <row r="80" ht="15.75" hidden="1" customHeight="1">
      <c r="A80" s="4" t="s">
        <v>512</v>
      </c>
      <c r="B80" s="4" t="s">
        <v>40</v>
      </c>
      <c r="C80" s="4" t="s">
        <v>513</v>
      </c>
      <c r="D80" s="4" t="s">
        <v>514</v>
      </c>
      <c r="E80" s="4" t="s">
        <v>515</v>
      </c>
      <c r="F80" s="10" t="s">
        <v>516</v>
      </c>
      <c r="G80" s="4" t="s">
        <v>27</v>
      </c>
      <c r="H80" s="4" t="s">
        <v>497</v>
      </c>
      <c r="I80" s="4"/>
      <c r="J80" s="11" t="s">
        <v>517</v>
      </c>
      <c r="K80" s="11" t="s">
        <v>240</v>
      </c>
      <c r="L80" s="13" t="s">
        <v>241</v>
      </c>
      <c r="M80" s="11" t="s">
        <v>518</v>
      </c>
      <c r="N80" s="4">
        <v>1.0</v>
      </c>
      <c r="O80" s="13"/>
      <c r="P80" s="13"/>
      <c r="Q80" s="2"/>
      <c r="R80" s="2"/>
      <c r="S80" s="2"/>
      <c r="T80" s="2"/>
      <c r="U80" s="2"/>
      <c r="V80" s="2"/>
      <c r="W80" s="2"/>
      <c r="X80" s="2"/>
      <c r="Y80" s="2"/>
      <c r="Z80" s="2"/>
    </row>
    <row r="81" ht="15.75" hidden="1" customHeight="1">
      <c r="A81" s="4" t="s">
        <v>519</v>
      </c>
      <c r="B81" s="4" t="s">
        <v>40</v>
      </c>
      <c r="C81" s="4" t="s">
        <v>520</v>
      </c>
      <c r="D81" s="4" t="s">
        <v>521</v>
      </c>
      <c r="E81" s="4" t="s">
        <v>522</v>
      </c>
      <c r="F81" s="10" t="s">
        <v>523</v>
      </c>
      <c r="G81" s="4" t="s">
        <v>27</v>
      </c>
      <c r="H81" s="4" t="s">
        <v>497</v>
      </c>
      <c r="I81" s="4"/>
      <c r="J81" s="11" t="s">
        <v>524</v>
      </c>
      <c r="K81" s="11" t="s">
        <v>240</v>
      </c>
      <c r="L81" s="13" t="s">
        <v>241</v>
      </c>
      <c r="M81" s="11" t="s">
        <v>499</v>
      </c>
      <c r="N81" s="4">
        <v>1.0</v>
      </c>
      <c r="O81" s="13"/>
      <c r="P81" s="13"/>
      <c r="Q81" s="2"/>
      <c r="R81" s="2"/>
      <c r="S81" s="2"/>
      <c r="T81" s="2"/>
      <c r="U81" s="2"/>
      <c r="V81" s="2"/>
      <c r="W81" s="2"/>
      <c r="X81" s="2"/>
      <c r="Y81" s="2"/>
      <c r="Z81" s="2"/>
    </row>
    <row r="82" ht="15.75" hidden="1" customHeight="1">
      <c r="A82" s="4" t="s">
        <v>525</v>
      </c>
      <c r="B82" s="4" t="s">
        <v>40</v>
      </c>
      <c r="C82" s="4" t="s">
        <v>526</v>
      </c>
      <c r="D82" s="4" t="s">
        <v>527</v>
      </c>
      <c r="E82" s="4" t="s">
        <v>528</v>
      </c>
      <c r="F82" s="10" t="s">
        <v>529</v>
      </c>
      <c r="G82" s="4" t="s">
        <v>27</v>
      </c>
      <c r="H82" s="4" t="s">
        <v>497</v>
      </c>
      <c r="I82" s="4"/>
      <c r="J82" s="11" t="s">
        <v>530</v>
      </c>
      <c r="K82" s="11" t="s">
        <v>240</v>
      </c>
      <c r="L82" s="13" t="s">
        <v>241</v>
      </c>
      <c r="M82" s="11" t="s">
        <v>531</v>
      </c>
      <c r="N82" s="4">
        <v>1.0</v>
      </c>
      <c r="O82" s="13"/>
      <c r="P82" s="13"/>
      <c r="Q82" s="2"/>
      <c r="R82" s="2"/>
      <c r="S82" s="2"/>
      <c r="T82" s="2"/>
      <c r="U82" s="2"/>
      <c r="V82" s="2"/>
      <c r="W82" s="2"/>
      <c r="X82" s="2"/>
      <c r="Y82" s="2"/>
      <c r="Z82" s="2"/>
    </row>
    <row r="83" ht="15.75" hidden="1" customHeight="1">
      <c r="A83" s="4" t="s">
        <v>532</v>
      </c>
      <c r="B83" s="4" t="s">
        <v>40</v>
      </c>
      <c r="C83" s="4" t="s">
        <v>533</v>
      </c>
      <c r="D83" s="4" t="s">
        <v>534</v>
      </c>
      <c r="E83" s="4" t="s">
        <v>535</v>
      </c>
      <c r="F83" s="10" t="s">
        <v>536</v>
      </c>
      <c r="G83" s="4" t="s">
        <v>27</v>
      </c>
      <c r="H83" s="4" t="s">
        <v>497</v>
      </c>
      <c r="I83" s="4"/>
      <c r="J83" s="11" t="s">
        <v>537</v>
      </c>
      <c r="K83" s="11" t="s">
        <v>240</v>
      </c>
      <c r="L83" s="13" t="s">
        <v>241</v>
      </c>
      <c r="M83" s="11" t="s">
        <v>538</v>
      </c>
      <c r="N83" s="4">
        <v>1.0</v>
      </c>
      <c r="O83" s="13"/>
      <c r="P83" s="13"/>
      <c r="Q83" s="2"/>
      <c r="R83" s="2"/>
      <c r="S83" s="2"/>
      <c r="T83" s="2"/>
      <c r="U83" s="2"/>
      <c r="V83" s="2"/>
      <c r="W83" s="2"/>
      <c r="X83" s="2"/>
      <c r="Y83" s="2"/>
      <c r="Z83" s="2"/>
    </row>
    <row r="84" ht="15.75" hidden="1" customHeight="1">
      <c r="A84" s="4" t="s">
        <v>539</v>
      </c>
      <c r="B84" s="4" t="s">
        <v>40</v>
      </c>
      <c r="C84" s="4" t="s">
        <v>540</v>
      </c>
      <c r="D84" s="4" t="s">
        <v>541</v>
      </c>
      <c r="E84" s="4" t="s">
        <v>542</v>
      </c>
      <c r="F84" s="10" t="s">
        <v>543</v>
      </c>
      <c r="G84" s="4" t="s">
        <v>29</v>
      </c>
      <c r="H84" s="4" t="s">
        <v>72</v>
      </c>
      <c r="I84" s="4"/>
      <c r="J84" s="11"/>
      <c r="K84" s="12" t="s">
        <v>64</v>
      </c>
      <c r="L84" s="15" t="s">
        <v>65</v>
      </c>
      <c r="M84" s="15" t="s">
        <v>544</v>
      </c>
      <c r="N84" s="4">
        <v>2.0</v>
      </c>
      <c r="O84" s="13"/>
      <c r="P84" s="13"/>
      <c r="Q84" s="2"/>
      <c r="R84" s="2"/>
      <c r="S84" s="2"/>
      <c r="T84" s="2"/>
      <c r="U84" s="2"/>
      <c r="V84" s="2"/>
      <c r="W84" s="2"/>
      <c r="X84" s="2"/>
      <c r="Y84" s="2"/>
      <c r="Z84" s="2"/>
    </row>
    <row r="85" ht="15.75" hidden="1" customHeight="1">
      <c r="A85" s="4" t="s">
        <v>545</v>
      </c>
      <c r="B85" s="4" t="s">
        <v>40</v>
      </c>
      <c r="C85" s="4" t="s">
        <v>546</v>
      </c>
      <c r="D85" s="4" t="s">
        <v>547</v>
      </c>
      <c r="E85" s="4" t="s">
        <v>152</v>
      </c>
      <c r="F85" s="10" t="s">
        <v>225</v>
      </c>
      <c r="G85" s="4" t="s">
        <v>28</v>
      </c>
      <c r="H85" s="4" t="s">
        <v>63</v>
      </c>
      <c r="I85" s="4"/>
      <c r="J85" s="11"/>
      <c r="K85" s="12" t="s">
        <v>64</v>
      </c>
      <c r="L85" s="15" t="s">
        <v>65</v>
      </c>
      <c r="M85" s="15" t="s">
        <v>154</v>
      </c>
      <c r="N85" s="4">
        <v>0.0</v>
      </c>
      <c r="O85" s="13"/>
      <c r="P85" s="13"/>
      <c r="Q85" s="2"/>
      <c r="R85" s="2"/>
      <c r="S85" s="2"/>
      <c r="T85" s="2"/>
      <c r="U85" s="2"/>
      <c r="V85" s="2"/>
      <c r="W85" s="2"/>
      <c r="X85" s="2"/>
      <c r="Y85" s="2"/>
      <c r="Z85" s="2"/>
    </row>
    <row r="86" ht="15.75" hidden="1" customHeight="1">
      <c r="A86" s="4" t="s">
        <v>548</v>
      </c>
      <c r="B86" s="4" t="s">
        <v>40</v>
      </c>
      <c r="C86" s="4" t="s">
        <v>549</v>
      </c>
      <c r="D86" s="4" t="s">
        <v>550</v>
      </c>
      <c r="E86" s="4" t="s">
        <v>551</v>
      </c>
      <c r="F86" s="10" t="s">
        <v>552</v>
      </c>
      <c r="G86" s="4" t="s">
        <v>27</v>
      </c>
      <c r="H86" s="4" t="s">
        <v>82</v>
      </c>
      <c r="I86" s="4"/>
      <c r="J86" s="12" t="s">
        <v>553</v>
      </c>
      <c r="K86" s="12" t="s">
        <v>74</v>
      </c>
      <c r="L86" s="15" t="s">
        <v>65</v>
      </c>
      <c r="M86" s="15" t="s">
        <v>554</v>
      </c>
      <c r="N86" s="4">
        <v>1.0</v>
      </c>
      <c r="O86" s="13"/>
      <c r="P86" s="14" t="s">
        <v>76</v>
      </c>
      <c r="Q86" s="2"/>
      <c r="R86" s="2"/>
      <c r="S86" s="2"/>
      <c r="T86" s="2"/>
      <c r="U86" s="2"/>
      <c r="V86" s="2"/>
      <c r="W86" s="2"/>
      <c r="X86" s="2"/>
      <c r="Y86" s="2"/>
      <c r="Z86" s="2"/>
    </row>
    <row r="87" ht="15.75" hidden="1" customHeight="1">
      <c r="A87" s="4" t="s">
        <v>555</v>
      </c>
      <c r="B87" s="4" t="s">
        <v>40</v>
      </c>
      <c r="C87" s="4" t="s">
        <v>556</v>
      </c>
      <c r="D87" s="4" t="s">
        <v>557</v>
      </c>
      <c r="E87" s="4" t="s">
        <v>558</v>
      </c>
      <c r="F87" s="10" t="s">
        <v>559</v>
      </c>
      <c r="G87" s="4" t="s">
        <v>29</v>
      </c>
      <c r="H87" s="4" t="s">
        <v>72</v>
      </c>
      <c r="I87" s="4" t="s">
        <v>141</v>
      </c>
      <c r="J87" s="11"/>
      <c r="K87" s="12" t="s">
        <v>64</v>
      </c>
      <c r="L87" s="15" t="s">
        <v>65</v>
      </c>
      <c r="M87" s="15" t="s">
        <v>560</v>
      </c>
      <c r="N87" s="4">
        <v>1.0</v>
      </c>
      <c r="O87" s="13"/>
      <c r="P87" s="13"/>
      <c r="Q87" s="2"/>
      <c r="R87" s="2"/>
      <c r="S87" s="2"/>
      <c r="T87" s="2"/>
      <c r="U87" s="2"/>
      <c r="V87" s="2"/>
      <c r="W87" s="2"/>
      <c r="X87" s="2"/>
      <c r="Y87" s="2"/>
      <c r="Z87" s="2"/>
    </row>
    <row r="88" ht="15.75" hidden="1" customHeight="1">
      <c r="A88" s="4" t="s">
        <v>561</v>
      </c>
      <c r="B88" s="4" t="s">
        <v>40</v>
      </c>
      <c r="C88" s="4" t="s">
        <v>562</v>
      </c>
      <c r="D88" s="4" t="s">
        <v>563</v>
      </c>
      <c r="E88" s="4" t="s">
        <v>152</v>
      </c>
      <c r="F88" s="10" t="s">
        <v>225</v>
      </c>
      <c r="G88" s="4" t="s">
        <v>28</v>
      </c>
      <c r="H88" s="4" t="s">
        <v>63</v>
      </c>
      <c r="I88" s="4"/>
      <c r="J88" s="11"/>
      <c r="K88" s="12" t="s">
        <v>64</v>
      </c>
      <c r="L88" s="15" t="s">
        <v>65</v>
      </c>
      <c r="M88" s="15" t="s">
        <v>154</v>
      </c>
      <c r="N88" s="4">
        <v>0.0</v>
      </c>
      <c r="O88" s="13"/>
      <c r="P88" s="13"/>
      <c r="Q88" s="2"/>
      <c r="R88" s="2"/>
      <c r="S88" s="2"/>
      <c r="T88" s="2"/>
      <c r="U88" s="2"/>
      <c r="V88" s="2"/>
      <c r="W88" s="2"/>
      <c r="X88" s="2"/>
      <c r="Y88" s="2"/>
      <c r="Z88" s="2"/>
    </row>
    <row r="89" ht="15.75" hidden="1" customHeight="1">
      <c r="A89" s="4" t="s">
        <v>564</v>
      </c>
      <c r="B89" s="4" t="s">
        <v>40</v>
      </c>
      <c r="C89" s="4" t="s">
        <v>565</v>
      </c>
      <c r="D89" s="4" t="s">
        <v>566</v>
      </c>
      <c r="E89" s="4" t="s">
        <v>567</v>
      </c>
      <c r="F89" s="10" t="s">
        <v>568</v>
      </c>
      <c r="G89" s="4" t="s">
        <v>27</v>
      </c>
      <c r="H89" s="4" t="s">
        <v>82</v>
      </c>
      <c r="I89" s="4" t="s">
        <v>99</v>
      </c>
      <c r="J89" s="12" t="s">
        <v>569</v>
      </c>
      <c r="K89" s="12" t="s">
        <v>74</v>
      </c>
      <c r="L89" s="15" t="s">
        <v>65</v>
      </c>
      <c r="M89" s="15" t="s">
        <v>570</v>
      </c>
      <c r="N89" s="4">
        <v>3.0</v>
      </c>
      <c r="O89" s="13"/>
      <c r="P89" s="14" t="s">
        <v>76</v>
      </c>
      <c r="Q89" s="2"/>
      <c r="R89" s="2"/>
      <c r="S89" s="2"/>
      <c r="T89" s="2"/>
      <c r="U89" s="2"/>
      <c r="V89" s="2"/>
      <c r="W89" s="2"/>
      <c r="X89" s="2"/>
      <c r="Y89" s="2"/>
      <c r="Z89" s="2"/>
    </row>
    <row r="90" ht="15.75" hidden="1" customHeight="1">
      <c r="A90" s="4" t="s">
        <v>571</v>
      </c>
      <c r="B90" s="4" t="s">
        <v>40</v>
      </c>
      <c r="C90" s="4" t="s">
        <v>572</v>
      </c>
      <c r="D90" s="4" t="s">
        <v>573</v>
      </c>
      <c r="E90" s="4" t="s">
        <v>574</v>
      </c>
      <c r="F90" s="10" t="s">
        <v>575</v>
      </c>
      <c r="G90" s="4" t="s">
        <v>27</v>
      </c>
      <c r="H90" s="4" t="s">
        <v>82</v>
      </c>
      <c r="I90" s="4"/>
      <c r="J90" s="12" t="s">
        <v>576</v>
      </c>
      <c r="K90" s="12" t="s">
        <v>74</v>
      </c>
      <c r="L90" s="15" t="s">
        <v>65</v>
      </c>
      <c r="M90" s="15" t="s">
        <v>577</v>
      </c>
      <c r="N90" s="4">
        <v>1.0</v>
      </c>
      <c r="O90" s="13"/>
      <c r="P90" s="14" t="s">
        <v>76</v>
      </c>
      <c r="Q90" s="2"/>
      <c r="R90" s="2"/>
      <c r="S90" s="2"/>
      <c r="T90" s="2"/>
      <c r="U90" s="2"/>
      <c r="V90" s="2"/>
      <c r="W90" s="2"/>
      <c r="X90" s="2"/>
      <c r="Y90" s="2"/>
      <c r="Z90" s="2"/>
    </row>
    <row r="91" ht="15.75" hidden="1" customHeight="1">
      <c r="A91" s="4" t="s">
        <v>578</v>
      </c>
      <c r="B91" s="4" t="s">
        <v>40</v>
      </c>
      <c r="C91" s="4" t="s">
        <v>579</v>
      </c>
      <c r="D91" s="4" t="s">
        <v>580</v>
      </c>
      <c r="E91" s="4" t="s">
        <v>581</v>
      </c>
      <c r="F91" s="10" t="s">
        <v>582</v>
      </c>
      <c r="G91" s="4" t="s">
        <v>29</v>
      </c>
      <c r="H91" s="4" t="s">
        <v>72</v>
      </c>
      <c r="I91" s="4"/>
      <c r="J91" s="11"/>
      <c r="K91" s="12" t="s">
        <v>64</v>
      </c>
      <c r="L91" s="15" t="s">
        <v>65</v>
      </c>
      <c r="M91" s="15" t="s">
        <v>583</v>
      </c>
      <c r="N91" s="4">
        <v>1.0</v>
      </c>
      <c r="O91" s="13"/>
      <c r="P91" s="13"/>
      <c r="Q91" s="2"/>
      <c r="R91" s="2"/>
      <c r="S91" s="2"/>
      <c r="T91" s="2"/>
      <c r="U91" s="2"/>
      <c r="V91" s="2"/>
      <c r="W91" s="2"/>
      <c r="X91" s="2"/>
      <c r="Y91" s="2"/>
      <c r="Z91" s="2"/>
    </row>
    <row r="92" ht="15.75" hidden="1" customHeight="1">
      <c r="A92" s="4" t="s">
        <v>584</v>
      </c>
      <c r="B92" s="4" t="s">
        <v>40</v>
      </c>
      <c r="C92" s="4" t="s">
        <v>585</v>
      </c>
      <c r="D92" s="4" t="s">
        <v>586</v>
      </c>
      <c r="E92" s="4" t="s">
        <v>152</v>
      </c>
      <c r="F92" s="10" t="s">
        <v>225</v>
      </c>
      <c r="G92" s="4" t="s">
        <v>28</v>
      </c>
      <c r="H92" s="4" t="s">
        <v>63</v>
      </c>
      <c r="I92" s="4"/>
      <c r="J92" s="11"/>
      <c r="K92" s="12" t="s">
        <v>64</v>
      </c>
      <c r="L92" s="15" t="s">
        <v>65</v>
      </c>
      <c r="M92" s="15" t="s">
        <v>154</v>
      </c>
      <c r="N92" s="4">
        <v>0.0</v>
      </c>
      <c r="O92" s="13"/>
      <c r="P92" s="13"/>
      <c r="Q92" s="2"/>
      <c r="R92" s="2"/>
      <c r="S92" s="2"/>
      <c r="T92" s="2"/>
      <c r="U92" s="2"/>
      <c r="V92" s="2"/>
      <c r="W92" s="2"/>
      <c r="X92" s="2"/>
      <c r="Y92" s="2"/>
      <c r="Z92" s="2"/>
    </row>
    <row r="93" ht="15.75" hidden="1" customHeight="1">
      <c r="A93" s="4" t="s">
        <v>587</v>
      </c>
      <c r="B93" s="4" t="s">
        <v>40</v>
      </c>
      <c r="C93" s="4" t="s">
        <v>588</v>
      </c>
      <c r="D93" s="4" t="s">
        <v>589</v>
      </c>
      <c r="E93" s="4" t="s">
        <v>590</v>
      </c>
      <c r="F93" s="10" t="s">
        <v>591</v>
      </c>
      <c r="G93" s="4" t="s">
        <v>27</v>
      </c>
      <c r="H93" s="4" t="s">
        <v>592</v>
      </c>
      <c r="I93" s="4" t="s">
        <v>99</v>
      </c>
      <c r="J93" s="15" t="s">
        <v>593</v>
      </c>
      <c r="K93" s="12" t="s">
        <v>74</v>
      </c>
      <c r="L93" s="15" t="s">
        <v>65</v>
      </c>
      <c r="M93" s="15" t="s">
        <v>594</v>
      </c>
      <c r="N93" s="4">
        <v>6.0</v>
      </c>
      <c r="O93" s="13"/>
      <c r="P93" s="14" t="s">
        <v>76</v>
      </c>
      <c r="Q93" s="2"/>
      <c r="R93" s="2"/>
      <c r="S93" s="2"/>
      <c r="T93" s="2"/>
      <c r="U93" s="2"/>
      <c r="V93" s="2"/>
      <c r="W93" s="2"/>
      <c r="X93" s="2"/>
      <c r="Y93" s="2"/>
      <c r="Z93" s="2"/>
    </row>
    <row r="94" ht="15.75" hidden="1" customHeight="1">
      <c r="A94" s="4" t="s">
        <v>595</v>
      </c>
      <c r="B94" s="4" t="s">
        <v>40</v>
      </c>
      <c r="C94" s="4" t="s">
        <v>596</v>
      </c>
      <c r="D94" s="4" t="s">
        <v>597</v>
      </c>
      <c r="E94" s="4" t="s">
        <v>598</v>
      </c>
      <c r="F94" s="10" t="s">
        <v>599</v>
      </c>
      <c r="G94" s="4" t="s">
        <v>29</v>
      </c>
      <c r="H94" s="4" t="s">
        <v>72</v>
      </c>
      <c r="I94" s="4"/>
      <c r="J94" s="11"/>
      <c r="K94" s="12" t="s">
        <v>64</v>
      </c>
      <c r="L94" s="15" t="s">
        <v>65</v>
      </c>
      <c r="M94" s="15" t="s">
        <v>600</v>
      </c>
      <c r="N94" s="4">
        <v>2.0</v>
      </c>
      <c r="O94" s="13"/>
      <c r="P94" s="13"/>
      <c r="Q94" s="2"/>
      <c r="R94" s="2"/>
      <c r="S94" s="2"/>
      <c r="T94" s="2"/>
      <c r="U94" s="2"/>
      <c r="V94" s="2"/>
      <c r="W94" s="2"/>
      <c r="X94" s="2"/>
      <c r="Y94" s="2"/>
      <c r="Z94" s="2"/>
    </row>
    <row r="95" ht="15.75" hidden="1" customHeight="1">
      <c r="A95" s="4" t="s">
        <v>601</v>
      </c>
      <c r="B95" s="4" t="s">
        <v>40</v>
      </c>
      <c r="C95" s="4" t="s">
        <v>602</v>
      </c>
      <c r="D95" s="4" t="s">
        <v>603</v>
      </c>
      <c r="E95" s="4" t="s">
        <v>152</v>
      </c>
      <c r="F95" s="10" t="s">
        <v>153</v>
      </c>
      <c r="G95" s="4" t="s">
        <v>28</v>
      </c>
      <c r="H95" s="4" t="s">
        <v>63</v>
      </c>
      <c r="I95" s="4"/>
      <c r="J95" s="11"/>
      <c r="K95" s="12" t="s">
        <v>64</v>
      </c>
      <c r="L95" s="15" t="s">
        <v>65</v>
      </c>
      <c r="M95" s="15" t="s">
        <v>154</v>
      </c>
      <c r="N95" s="4">
        <v>0.0</v>
      </c>
      <c r="O95" s="13"/>
      <c r="P95" s="13"/>
      <c r="Q95" s="2"/>
      <c r="R95" s="2"/>
      <c r="S95" s="2"/>
      <c r="T95" s="2"/>
      <c r="U95" s="2"/>
      <c r="V95" s="2"/>
      <c r="W95" s="2"/>
      <c r="X95" s="2"/>
      <c r="Y95" s="2"/>
      <c r="Z95" s="2"/>
    </row>
    <row r="96" ht="15.75" hidden="1" customHeight="1">
      <c r="A96" s="4" t="s">
        <v>604</v>
      </c>
      <c r="B96" s="4" t="s">
        <v>40</v>
      </c>
      <c r="C96" s="4" t="s">
        <v>605</v>
      </c>
      <c r="D96" s="4" t="s">
        <v>606</v>
      </c>
      <c r="E96" s="4" t="s">
        <v>607</v>
      </c>
      <c r="F96" s="10" t="s">
        <v>608</v>
      </c>
      <c r="G96" s="4" t="s">
        <v>29</v>
      </c>
      <c r="H96" s="4" t="s">
        <v>72</v>
      </c>
      <c r="I96" s="4"/>
      <c r="J96" s="11"/>
      <c r="K96" s="12" t="s">
        <v>64</v>
      </c>
      <c r="L96" s="15" t="s">
        <v>65</v>
      </c>
      <c r="M96" s="15" t="s">
        <v>609</v>
      </c>
      <c r="N96" s="4">
        <v>2.0</v>
      </c>
      <c r="O96" s="13"/>
      <c r="P96" s="13"/>
      <c r="Q96" s="2"/>
      <c r="R96" s="2"/>
      <c r="S96" s="2"/>
      <c r="T96" s="2"/>
      <c r="U96" s="2"/>
      <c r="V96" s="2"/>
      <c r="W96" s="2"/>
      <c r="X96" s="2"/>
      <c r="Y96" s="2"/>
      <c r="Z96" s="2"/>
    </row>
    <row r="97" ht="15.75" hidden="1" customHeight="1">
      <c r="A97" s="4" t="s">
        <v>610</v>
      </c>
      <c r="B97" s="4" t="s">
        <v>40</v>
      </c>
      <c r="C97" s="4" t="s">
        <v>611</v>
      </c>
      <c r="D97" s="4" t="s">
        <v>192</v>
      </c>
      <c r="E97" s="4" t="s">
        <v>152</v>
      </c>
      <c r="F97" s="10" t="s">
        <v>153</v>
      </c>
      <c r="G97" s="4" t="s">
        <v>28</v>
      </c>
      <c r="H97" s="4" t="s">
        <v>63</v>
      </c>
      <c r="I97" s="4"/>
      <c r="J97" s="11"/>
      <c r="K97" s="12" t="s">
        <v>64</v>
      </c>
      <c r="L97" s="15" t="s">
        <v>65</v>
      </c>
      <c r="M97" s="15" t="s">
        <v>154</v>
      </c>
      <c r="N97" s="4">
        <v>0.0</v>
      </c>
      <c r="O97" s="13"/>
      <c r="P97" s="13"/>
      <c r="Q97" s="2"/>
      <c r="R97" s="2"/>
      <c r="S97" s="2"/>
      <c r="T97" s="2"/>
      <c r="U97" s="2"/>
      <c r="V97" s="2"/>
      <c r="W97" s="2"/>
      <c r="X97" s="2"/>
      <c r="Y97" s="2"/>
      <c r="Z97" s="2"/>
    </row>
    <row r="98" ht="15.75" hidden="1" customHeight="1">
      <c r="A98" s="4" t="s">
        <v>612</v>
      </c>
      <c r="B98" s="4" t="s">
        <v>40</v>
      </c>
      <c r="C98" s="4" t="s">
        <v>613</v>
      </c>
      <c r="D98" s="4" t="s">
        <v>614</v>
      </c>
      <c r="E98" s="4" t="s">
        <v>615</v>
      </c>
      <c r="F98" s="10" t="s">
        <v>616</v>
      </c>
      <c r="G98" s="4" t="s">
        <v>29</v>
      </c>
      <c r="H98" s="4" t="s">
        <v>72</v>
      </c>
      <c r="I98" s="4"/>
      <c r="J98" s="11"/>
      <c r="K98" s="12" t="s">
        <v>64</v>
      </c>
      <c r="L98" s="15" t="s">
        <v>65</v>
      </c>
      <c r="M98" s="15" t="s">
        <v>617</v>
      </c>
      <c r="N98" s="4">
        <v>2.0</v>
      </c>
      <c r="O98" s="13"/>
      <c r="P98" s="13"/>
      <c r="Q98" s="2"/>
      <c r="R98" s="2"/>
      <c r="S98" s="2"/>
      <c r="T98" s="2"/>
      <c r="U98" s="2"/>
      <c r="V98" s="2"/>
      <c r="W98" s="2"/>
      <c r="X98" s="2"/>
      <c r="Y98" s="2"/>
      <c r="Z98" s="2"/>
    </row>
    <row r="99" ht="15.75" hidden="1" customHeight="1">
      <c r="A99" s="4" t="s">
        <v>618</v>
      </c>
      <c r="B99" s="4" t="s">
        <v>40</v>
      </c>
      <c r="C99" s="4" t="s">
        <v>619</v>
      </c>
      <c r="D99" s="4" t="s">
        <v>620</v>
      </c>
      <c r="E99" s="4" t="s">
        <v>152</v>
      </c>
      <c r="F99" s="10" t="s">
        <v>153</v>
      </c>
      <c r="G99" s="4" t="s">
        <v>28</v>
      </c>
      <c r="H99" s="4" t="s">
        <v>63</v>
      </c>
      <c r="I99" s="4"/>
      <c r="J99" s="11"/>
      <c r="K99" s="12" t="s">
        <v>64</v>
      </c>
      <c r="L99" s="15" t="s">
        <v>65</v>
      </c>
      <c r="M99" s="15" t="s">
        <v>154</v>
      </c>
      <c r="N99" s="4">
        <v>0.0</v>
      </c>
      <c r="O99" s="13"/>
      <c r="P99" s="13"/>
      <c r="Q99" s="2"/>
      <c r="R99" s="2"/>
      <c r="S99" s="2"/>
      <c r="T99" s="2"/>
      <c r="U99" s="2"/>
      <c r="V99" s="2"/>
      <c r="W99" s="2"/>
      <c r="X99" s="2"/>
      <c r="Y99" s="2"/>
      <c r="Z99" s="2"/>
    </row>
    <row r="100" ht="15.75" hidden="1" customHeight="1">
      <c r="A100" s="4" t="s">
        <v>621</v>
      </c>
      <c r="B100" s="4" t="s">
        <v>40</v>
      </c>
      <c r="C100" s="4" t="s">
        <v>622</v>
      </c>
      <c r="D100" s="4" t="s">
        <v>623</v>
      </c>
      <c r="E100" s="4" t="s">
        <v>624</v>
      </c>
      <c r="F100" s="10" t="s">
        <v>625</v>
      </c>
      <c r="G100" s="4" t="s">
        <v>29</v>
      </c>
      <c r="H100" s="4" t="s">
        <v>72</v>
      </c>
      <c r="I100" s="4"/>
      <c r="J100" s="11"/>
      <c r="K100" s="12" t="s">
        <v>64</v>
      </c>
      <c r="L100" s="15" t="s">
        <v>65</v>
      </c>
      <c r="M100" s="15" t="s">
        <v>626</v>
      </c>
      <c r="N100" s="4">
        <v>1.0</v>
      </c>
      <c r="O100" s="13"/>
      <c r="P100" s="13"/>
      <c r="Q100" s="2"/>
      <c r="R100" s="2"/>
      <c r="S100" s="2"/>
      <c r="T100" s="2"/>
      <c r="U100" s="2"/>
      <c r="V100" s="2"/>
      <c r="W100" s="2"/>
      <c r="X100" s="2"/>
      <c r="Y100" s="2"/>
      <c r="Z100" s="2"/>
    </row>
    <row r="101" ht="15.75" hidden="1" customHeight="1">
      <c r="A101" s="4" t="s">
        <v>627</v>
      </c>
      <c r="B101" s="4" t="s">
        <v>40</v>
      </c>
      <c r="C101" s="4" t="s">
        <v>628</v>
      </c>
      <c r="D101" s="4" t="s">
        <v>629</v>
      </c>
      <c r="E101" s="4" t="s">
        <v>152</v>
      </c>
      <c r="F101" s="10" t="s">
        <v>225</v>
      </c>
      <c r="G101" s="4" t="s">
        <v>28</v>
      </c>
      <c r="H101" s="4" t="s">
        <v>63</v>
      </c>
      <c r="I101" s="4"/>
      <c r="J101" s="11"/>
      <c r="K101" s="12" t="s">
        <v>64</v>
      </c>
      <c r="L101" s="15" t="s">
        <v>65</v>
      </c>
      <c r="M101" s="15" t="s">
        <v>154</v>
      </c>
      <c r="N101" s="4">
        <v>0.0</v>
      </c>
      <c r="O101" s="13"/>
      <c r="P101" s="13"/>
      <c r="Q101" s="2"/>
      <c r="R101" s="2"/>
      <c r="S101" s="2"/>
      <c r="T101" s="2"/>
      <c r="U101" s="2"/>
      <c r="V101" s="2"/>
      <c r="W101" s="2"/>
      <c r="X101" s="2"/>
      <c r="Y101" s="2"/>
      <c r="Z101" s="2"/>
    </row>
    <row r="102" ht="15.75" hidden="1" customHeight="1">
      <c r="A102" s="4" t="s">
        <v>630</v>
      </c>
      <c r="B102" s="4" t="s">
        <v>40</v>
      </c>
      <c r="C102" s="4" t="s">
        <v>631</v>
      </c>
      <c r="D102" s="4" t="s">
        <v>632</v>
      </c>
      <c r="E102" s="4" t="s">
        <v>158</v>
      </c>
      <c r="F102" s="10" t="s">
        <v>633</v>
      </c>
      <c r="G102" s="4" t="s">
        <v>29</v>
      </c>
      <c r="H102" s="4" t="s">
        <v>72</v>
      </c>
      <c r="I102" s="4" t="s">
        <v>634</v>
      </c>
      <c r="J102" s="11"/>
      <c r="K102" s="12" t="s">
        <v>64</v>
      </c>
      <c r="L102" s="15" t="s">
        <v>65</v>
      </c>
      <c r="M102" s="15" t="s">
        <v>635</v>
      </c>
      <c r="N102" s="4">
        <v>2.0</v>
      </c>
      <c r="O102" s="13"/>
      <c r="P102" s="13"/>
      <c r="Q102" s="2"/>
      <c r="R102" s="2"/>
      <c r="S102" s="2"/>
      <c r="T102" s="2"/>
      <c r="U102" s="2"/>
      <c r="V102" s="2"/>
      <c r="W102" s="2"/>
      <c r="X102" s="2"/>
      <c r="Y102" s="2"/>
      <c r="Z102" s="2"/>
    </row>
    <row r="103" ht="15.75" hidden="1" customHeight="1">
      <c r="A103" s="4" t="s">
        <v>636</v>
      </c>
      <c r="B103" s="4" t="s">
        <v>40</v>
      </c>
      <c r="C103" s="4" t="s">
        <v>637</v>
      </c>
      <c r="D103" s="4" t="s">
        <v>638</v>
      </c>
      <c r="E103" s="4" t="s">
        <v>639</v>
      </c>
      <c r="F103" s="10" t="s">
        <v>640</v>
      </c>
      <c r="G103" s="4" t="s">
        <v>27</v>
      </c>
      <c r="H103" s="4" t="s">
        <v>82</v>
      </c>
      <c r="I103" s="4" t="s">
        <v>99</v>
      </c>
      <c r="J103" s="12" t="s">
        <v>641</v>
      </c>
      <c r="K103" s="12" t="s">
        <v>74</v>
      </c>
      <c r="L103" s="15" t="s">
        <v>65</v>
      </c>
      <c r="M103" s="12" t="s">
        <v>642</v>
      </c>
      <c r="N103" s="4">
        <v>2.0</v>
      </c>
      <c r="O103" s="13"/>
      <c r="P103" s="14" t="s">
        <v>76</v>
      </c>
      <c r="Q103" s="2"/>
      <c r="R103" s="2"/>
      <c r="S103" s="2"/>
      <c r="T103" s="2"/>
      <c r="U103" s="2"/>
      <c r="V103" s="2"/>
      <c r="W103" s="2"/>
      <c r="X103" s="2"/>
      <c r="Y103" s="2"/>
      <c r="Z103" s="2"/>
    </row>
    <row r="104" ht="15.75" hidden="1" customHeight="1">
      <c r="A104" s="4" t="s">
        <v>643</v>
      </c>
      <c r="B104" s="4" t="s">
        <v>40</v>
      </c>
      <c r="C104" s="4" t="s">
        <v>644</v>
      </c>
      <c r="D104" s="4" t="s">
        <v>645</v>
      </c>
      <c r="E104" s="4" t="s">
        <v>646</v>
      </c>
      <c r="F104" s="10" t="s">
        <v>647</v>
      </c>
      <c r="G104" s="4" t="s">
        <v>27</v>
      </c>
      <c r="H104" s="4" t="s">
        <v>82</v>
      </c>
      <c r="I104" s="4" t="s">
        <v>99</v>
      </c>
      <c r="J104" s="15" t="s">
        <v>648</v>
      </c>
      <c r="K104" s="12" t="s">
        <v>74</v>
      </c>
      <c r="L104" s="15" t="s">
        <v>65</v>
      </c>
      <c r="M104" s="15" t="s">
        <v>649</v>
      </c>
      <c r="N104" s="4">
        <v>2.0</v>
      </c>
      <c r="O104" s="13"/>
      <c r="P104" s="14" t="s">
        <v>76</v>
      </c>
      <c r="Q104" s="2"/>
      <c r="R104" s="2"/>
      <c r="S104" s="2"/>
      <c r="T104" s="2"/>
      <c r="U104" s="2"/>
      <c r="V104" s="2"/>
      <c r="W104" s="2"/>
      <c r="X104" s="2"/>
      <c r="Y104" s="2"/>
      <c r="Z104" s="2"/>
    </row>
    <row r="105" ht="15.75" hidden="1" customHeight="1">
      <c r="A105" s="4" t="s">
        <v>650</v>
      </c>
      <c r="B105" s="4" t="s">
        <v>40</v>
      </c>
      <c r="C105" s="4" t="s">
        <v>651</v>
      </c>
      <c r="D105" s="4" t="s">
        <v>652</v>
      </c>
      <c r="E105" s="4" t="s">
        <v>653</v>
      </c>
      <c r="F105" s="10" t="s">
        <v>654</v>
      </c>
      <c r="G105" s="4" t="s">
        <v>27</v>
      </c>
      <c r="H105" s="4" t="s">
        <v>82</v>
      </c>
      <c r="I105" s="4" t="s">
        <v>99</v>
      </c>
      <c r="J105" s="12" t="s">
        <v>655</v>
      </c>
      <c r="K105" s="12" t="s">
        <v>74</v>
      </c>
      <c r="L105" s="15" t="s">
        <v>65</v>
      </c>
      <c r="M105" s="12"/>
      <c r="N105" s="4">
        <v>1.0</v>
      </c>
      <c r="O105" s="13"/>
      <c r="P105" s="14" t="s">
        <v>76</v>
      </c>
      <c r="Q105" s="2"/>
      <c r="R105" s="2"/>
      <c r="S105" s="2"/>
      <c r="T105" s="2"/>
      <c r="U105" s="2"/>
      <c r="V105" s="2"/>
      <c r="W105" s="2"/>
      <c r="X105" s="2"/>
      <c r="Y105" s="2"/>
      <c r="Z105" s="2"/>
    </row>
    <row r="106" ht="15.75" hidden="1" customHeight="1">
      <c r="A106" s="4" t="s">
        <v>656</v>
      </c>
      <c r="B106" s="4" t="s">
        <v>40</v>
      </c>
      <c r="C106" s="4" t="s">
        <v>657</v>
      </c>
      <c r="D106" s="4" t="s">
        <v>658</v>
      </c>
      <c r="E106" s="4" t="s">
        <v>659</v>
      </c>
      <c r="F106" s="10" t="s">
        <v>660</v>
      </c>
      <c r="G106" s="4" t="s">
        <v>27</v>
      </c>
      <c r="H106" s="4" t="s">
        <v>82</v>
      </c>
      <c r="I106" s="4"/>
      <c r="J106" s="12" t="s">
        <v>661</v>
      </c>
      <c r="K106" s="12" t="s">
        <v>74</v>
      </c>
      <c r="L106" s="15" t="s">
        <v>65</v>
      </c>
      <c r="M106" s="15" t="s">
        <v>662</v>
      </c>
      <c r="N106" s="4">
        <v>3.0</v>
      </c>
      <c r="O106" s="13"/>
      <c r="P106" s="14" t="s">
        <v>76</v>
      </c>
      <c r="Q106" s="2"/>
      <c r="R106" s="2"/>
      <c r="S106" s="2"/>
      <c r="T106" s="2"/>
      <c r="U106" s="2"/>
      <c r="V106" s="2"/>
      <c r="W106" s="2"/>
      <c r="X106" s="2"/>
      <c r="Y106" s="2"/>
      <c r="Z106" s="2"/>
    </row>
    <row r="107" ht="15.75" hidden="1" customHeight="1">
      <c r="A107" s="4" t="s">
        <v>663</v>
      </c>
      <c r="B107" s="4" t="s">
        <v>40</v>
      </c>
      <c r="C107" s="4" t="s">
        <v>664</v>
      </c>
      <c r="D107" s="4" t="s">
        <v>665</v>
      </c>
      <c r="E107" s="4" t="s">
        <v>666</v>
      </c>
      <c r="F107" s="10" t="s">
        <v>667</v>
      </c>
      <c r="G107" s="4" t="s">
        <v>27</v>
      </c>
      <c r="H107" s="4" t="s">
        <v>82</v>
      </c>
      <c r="I107" s="4" t="s">
        <v>99</v>
      </c>
      <c r="J107" s="12" t="s">
        <v>668</v>
      </c>
      <c r="K107" s="12" t="s">
        <v>74</v>
      </c>
      <c r="L107" s="15" t="s">
        <v>65</v>
      </c>
      <c r="M107" s="15" t="s">
        <v>669</v>
      </c>
      <c r="N107" s="4">
        <v>1.0</v>
      </c>
      <c r="O107" s="13"/>
      <c r="P107" s="14" t="s">
        <v>93</v>
      </c>
      <c r="Q107" s="2"/>
      <c r="R107" s="2"/>
      <c r="S107" s="2"/>
      <c r="T107" s="2"/>
      <c r="U107" s="2"/>
      <c r="V107" s="2"/>
      <c r="W107" s="2"/>
      <c r="X107" s="2"/>
      <c r="Y107" s="2"/>
      <c r="Z107" s="2"/>
    </row>
    <row r="108" ht="15.75" hidden="1" customHeight="1">
      <c r="A108" s="4" t="s">
        <v>670</v>
      </c>
      <c r="B108" s="4" t="s">
        <v>41</v>
      </c>
      <c r="C108" s="4" t="s">
        <v>671</v>
      </c>
      <c r="D108" s="4" t="s">
        <v>672</v>
      </c>
      <c r="E108" s="4" t="s">
        <v>495</v>
      </c>
      <c r="F108" s="10" t="s">
        <v>673</v>
      </c>
      <c r="G108" s="4" t="s">
        <v>27</v>
      </c>
      <c r="H108" s="4" t="s">
        <v>497</v>
      </c>
      <c r="I108" s="4"/>
      <c r="J108" s="11" t="s">
        <v>498</v>
      </c>
      <c r="K108" s="11" t="s">
        <v>240</v>
      </c>
      <c r="L108" s="13" t="s">
        <v>241</v>
      </c>
      <c r="M108" s="11" t="s">
        <v>499</v>
      </c>
      <c r="N108" s="4">
        <v>1.0</v>
      </c>
      <c r="O108" s="13"/>
      <c r="P108" s="13"/>
      <c r="Q108" s="2"/>
      <c r="R108" s="2"/>
      <c r="S108" s="2"/>
      <c r="T108" s="2"/>
      <c r="U108" s="2"/>
      <c r="V108" s="2"/>
      <c r="W108" s="2"/>
      <c r="X108" s="2"/>
      <c r="Y108" s="2"/>
      <c r="Z108" s="2"/>
    </row>
    <row r="109" ht="15.75" hidden="1" customHeight="1">
      <c r="A109" s="4" t="s">
        <v>674</v>
      </c>
      <c r="B109" s="4" t="s">
        <v>41</v>
      </c>
      <c r="C109" s="4" t="s">
        <v>675</v>
      </c>
      <c r="D109" s="4" t="s">
        <v>676</v>
      </c>
      <c r="E109" s="4" t="s">
        <v>503</v>
      </c>
      <c r="F109" s="10" t="s">
        <v>504</v>
      </c>
      <c r="G109" s="4" t="s">
        <v>27</v>
      </c>
      <c r="H109" s="4" t="s">
        <v>497</v>
      </c>
      <c r="I109" s="4"/>
      <c r="J109" s="11" t="s">
        <v>505</v>
      </c>
      <c r="K109" s="11" t="s">
        <v>240</v>
      </c>
      <c r="L109" s="13" t="s">
        <v>241</v>
      </c>
      <c r="M109" s="11" t="s">
        <v>499</v>
      </c>
      <c r="N109" s="4">
        <v>1.0</v>
      </c>
      <c r="O109" s="13"/>
      <c r="P109" s="13"/>
      <c r="Q109" s="2"/>
      <c r="R109" s="2"/>
      <c r="S109" s="2"/>
      <c r="T109" s="2"/>
      <c r="U109" s="2"/>
      <c r="V109" s="2"/>
      <c r="W109" s="2"/>
      <c r="X109" s="2"/>
      <c r="Y109" s="2"/>
      <c r="Z109" s="2"/>
    </row>
    <row r="110" ht="15.75" hidden="1" customHeight="1">
      <c r="A110" s="4" t="s">
        <v>677</v>
      </c>
      <c r="B110" s="4" t="s">
        <v>41</v>
      </c>
      <c r="C110" s="4" t="s">
        <v>678</v>
      </c>
      <c r="D110" s="4" t="s">
        <v>679</v>
      </c>
      <c r="E110" s="4" t="s">
        <v>509</v>
      </c>
      <c r="F110" s="10" t="s">
        <v>510</v>
      </c>
      <c r="G110" s="4" t="s">
        <v>27</v>
      </c>
      <c r="H110" s="4" t="s">
        <v>497</v>
      </c>
      <c r="I110" s="4"/>
      <c r="J110" s="11" t="s">
        <v>511</v>
      </c>
      <c r="K110" s="11" t="s">
        <v>240</v>
      </c>
      <c r="L110" s="13" t="s">
        <v>241</v>
      </c>
      <c r="M110" s="11" t="s">
        <v>499</v>
      </c>
      <c r="N110" s="4">
        <v>1.0</v>
      </c>
      <c r="O110" s="13"/>
      <c r="P110" s="13"/>
      <c r="Q110" s="2"/>
      <c r="R110" s="2"/>
      <c r="S110" s="2"/>
      <c r="T110" s="2"/>
      <c r="U110" s="2"/>
      <c r="V110" s="2"/>
      <c r="W110" s="2"/>
      <c r="X110" s="2"/>
      <c r="Y110" s="2"/>
      <c r="Z110" s="2"/>
    </row>
    <row r="111" ht="15.75" hidden="1" customHeight="1">
      <c r="A111" s="4" t="s">
        <v>680</v>
      </c>
      <c r="B111" s="4" t="s">
        <v>41</v>
      </c>
      <c r="C111" s="4" t="s">
        <v>681</v>
      </c>
      <c r="D111" s="4" t="s">
        <v>682</v>
      </c>
      <c r="E111" s="4" t="s">
        <v>515</v>
      </c>
      <c r="F111" s="10" t="s">
        <v>516</v>
      </c>
      <c r="G111" s="4" t="s">
        <v>27</v>
      </c>
      <c r="H111" s="4" t="s">
        <v>497</v>
      </c>
      <c r="I111" s="4"/>
      <c r="J111" s="11" t="s">
        <v>517</v>
      </c>
      <c r="K111" s="11" t="s">
        <v>240</v>
      </c>
      <c r="L111" s="13" t="s">
        <v>241</v>
      </c>
      <c r="M111" s="11" t="s">
        <v>683</v>
      </c>
      <c r="N111" s="4">
        <v>1.0</v>
      </c>
      <c r="O111" s="13"/>
      <c r="P111" s="13"/>
      <c r="Q111" s="2"/>
      <c r="R111" s="2"/>
      <c r="S111" s="2"/>
      <c r="T111" s="2"/>
      <c r="U111" s="2"/>
      <c r="V111" s="2"/>
      <c r="W111" s="2"/>
      <c r="X111" s="2"/>
      <c r="Y111" s="2"/>
      <c r="Z111" s="2"/>
    </row>
    <row r="112" ht="15.75" hidden="1" customHeight="1">
      <c r="A112" s="4" t="s">
        <v>684</v>
      </c>
      <c r="B112" s="4" t="s">
        <v>41</v>
      </c>
      <c r="C112" s="4" t="s">
        <v>685</v>
      </c>
      <c r="D112" s="4" t="s">
        <v>686</v>
      </c>
      <c r="E112" s="4" t="s">
        <v>522</v>
      </c>
      <c r="F112" s="10" t="s">
        <v>523</v>
      </c>
      <c r="G112" s="4" t="s">
        <v>27</v>
      </c>
      <c r="H112" s="4" t="s">
        <v>497</v>
      </c>
      <c r="I112" s="4"/>
      <c r="J112" s="11" t="s">
        <v>524</v>
      </c>
      <c r="K112" s="11" t="s">
        <v>240</v>
      </c>
      <c r="L112" s="13" t="s">
        <v>241</v>
      </c>
      <c r="M112" s="11" t="s">
        <v>499</v>
      </c>
      <c r="N112" s="4">
        <v>1.0</v>
      </c>
      <c r="O112" s="13"/>
      <c r="P112" s="13"/>
      <c r="Q112" s="2"/>
      <c r="R112" s="2"/>
      <c r="S112" s="2"/>
      <c r="T112" s="2"/>
      <c r="U112" s="2"/>
      <c r="V112" s="2"/>
      <c r="W112" s="2"/>
      <c r="X112" s="2"/>
      <c r="Y112" s="2"/>
      <c r="Z112" s="2"/>
    </row>
    <row r="113" ht="15.75" hidden="1" customHeight="1">
      <c r="A113" s="4" t="s">
        <v>687</v>
      </c>
      <c r="B113" s="4" t="s">
        <v>41</v>
      </c>
      <c r="C113" s="4" t="s">
        <v>688</v>
      </c>
      <c r="D113" s="4" t="s">
        <v>689</v>
      </c>
      <c r="E113" s="4" t="s">
        <v>528</v>
      </c>
      <c r="F113" s="10" t="s">
        <v>529</v>
      </c>
      <c r="G113" s="4" t="s">
        <v>27</v>
      </c>
      <c r="H113" s="4" t="s">
        <v>497</v>
      </c>
      <c r="I113" s="4"/>
      <c r="J113" s="11" t="s">
        <v>530</v>
      </c>
      <c r="K113" s="11" t="s">
        <v>240</v>
      </c>
      <c r="L113" s="13" t="s">
        <v>241</v>
      </c>
      <c r="M113" s="11" t="s">
        <v>690</v>
      </c>
      <c r="N113" s="4">
        <v>1.0</v>
      </c>
      <c r="O113" s="13"/>
      <c r="P113" s="13"/>
      <c r="Q113" s="2"/>
      <c r="R113" s="2"/>
      <c r="S113" s="2"/>
      <c r="T113" s="2"/>
      <c r="U113" s="2"/>
      <c r="V113" s="2"/>
      <c r="W113" s="2"/>
      <c r="X113" s="2"/>
      <c r="Y113" s="2"/>
      <c r="Z113" s="2"/>
    </row>
    <row r="114" ht="15.75" hidden="1" customHeight="1">
      <c r="A114" s="4" t="s">
        <v>691</v>
      </c>
      <c r="B114" s="4" t="s">
        <v>41</v>
      </c>
      <c r="C114" s="4" t="s">
        <v>692</v>
      </c>
      <c r="D114" s="4" t="s">
        <v>693</v>
      </c>
      <c r="E114" s="4" t="s">
        <v>535</v>
      </c>
      <c r="F114" s="10" t="s">
        <v>694</v>
      </c>
      <c r="G114" s="4" t="s">
        <v>27</v>
      </c>
      <c r="H114" s="4" t="s">
        <v>497</v>
      </c>
      <c r="I114" s="4"/>
      <c r="J114" s="11" t="s">
        <v>537</v>
      </c>
      <c r="K114" s="11" t="s">
        <v>240</v>
      </c>
      <c r="L114" s="13" t="s">
        <v>241</v>
      </c>
      <c r="M114" s="11" t="s">
        <v>695</v>
      </c>
      <c r="N114" s="4">
        <v>1.0</v>
      </c>
      <c r="O114" s="13"/>
      <c r="P114" s="13"/>
      <c r="Q114" s="2"/>
      <c r="R114" s="2"/>
      <c r="S114" s="2"/>
      <c r="T114" s="2"/>
      <c r="U114" s="2"/>
      <c r="V114" s="2"/>
      <c r="W114" s="2"/>
      <c r="X114" s="2"/>
      <c r="Y114" s="2"/>
      <c r="Z114" s="2"/>
    </row>
    <row r="115" ht="15.75" hidden="1" customHeight="1">
      <c r="A115" s="4" t="s">
        <v>696</v>
      </c>
      <c r="B115" s="4" t="s">
        <v>41</v>
      </c>
      <c r="C115" s="4" t="s">
        <v>697</v>
      </c>
      <c r="D115" s="4" t="s">
        <v>698</v>
      </c>
      <c r="E115" s="4" t="s">
        <v>699</v>
      </c>
      <c r="F115" s="10" t="s">
        <v>700</v>
      </c>
      <c r="G115" s="4" t="s">
        <v>29</v>
      </c>
      <c r="H115" s="4" t="s">
        <v>72</v>
      </c>
      <c r="I115" s="4" t="s">
        <v>141</v>
      </c>
      <c r="J115" s="11"/>
      <c r="K115" s="12" t="s">
        <v>64</v>
      </c>
      <c r="L115" s="15" t="s">
        <v>65</v>
      </c>
      <c r="M115" s="15" t="s">
        <v>701</v>
      </c>
      <c r="N115" s="4">
        <v>1.0</v>
      </c>
      <c r="O115" s="13"/>
      <c r="P115" s="13"/>
      <c r="Q115" s="2"/>
      <c r="R115" s="2"/>
      <c r="S115" s="2"/>
      <c r="T115" s="2"/>
      <c r="U115" s="2"/>
      <c r="V115" s="2"/>
      <c r="W115" s="2"/>
      <c r="X115" s="2"/>
      <c r="Y115" s="2"/>
      <c r="Z115" s="2"/>
    </row>
    <row r="116" ht="15.75" hidden="1" customHeight="1">
      <c r="A116" s="4" t="s">
        <v>702</v>
      </c>
      <c r="B116" s="4" t="s">
        <v>41</v>
      </c>
      <c r="C116" s="4" t="s">
        <v>703</v>
      </c>
      <c r="D116" s="4" t="s">
        <v>704</v>
      </c>
      <c r="E116" s="4" t="s">
        <v>152</v>
      </c>
      <c r="F116" s="10" t="s">
        <v>225</v>
      </c>
      <c r="G116" s="4" t="s">
        <v>28</v>
      </c>
      <c r="H116" s="4" t="s">
        <v>63</v>
      </c>
      <c r="I116" s="4"/>
      <c r="J116" s="11"/>
      <c r="K116" s="12" t="s">
        <v>64</v>
      </c>
      <c r="L116" s="15" t="s">
        <v>65</v>
      </c>
      <c r="M116" s="15" t="s">
        <v>154</v>
      </c>
      <c r="N116" s="4">
        <v>0.0</v>
      </c>
      <c r="O116" s="13"/>
      <c r="P116" s="13"/>
      <c r="Q116" s="2"/>
      <c r="R116" s="2"/>
      <c r="S116" s="2"/>
      <c r="T116" s="2"/>
      <c r="U116" s="2"/>
      <c r="V116" s="2"/>
      <c r="W116" s="2"/>
      <c r="X116" s="2"/>
      <c r="Y116" s="2"/>
      <c r="Z116" s="2"/>
    </row>
    <row r="117" ht="15.75" customHeight="1">
      <c r="A117" s="4" t="s">
        <v>705</v>
      </c>
      <c r="B117" s="4" t="s">
        <v>41</v>
      </c>
      <c r="C117" s="4" t="s">
        <v>706</v>
      </c>
      <c r="D117" s="4" t="s">
        <v>707</v>
      </c>
      <c r="E117" s="4" t="s">
        <v>708</v>
      </c>
      <c r="F117" s="10" t="s">
        <v>709</v>
      </c>
      <c r="G117" s="4" t="s">
        <v>27</v>
      </c>
      <c r="H117" s="4" t="s">
        <v>82</v>
      </c>
      <c r="I117" s="4"/>
      <c r="J117" s="12" t="s">
        <v>710</v>
      </c>
      <c r="K117" s="12" t="s">
        <v>74</v>
      </c>
      <c r="L117" s="15" t="s">
        <v>65</v>
      </c>
      <c r="M117" s="12" t="s">
        <v>711</v>
      </c>
      <c r="N117" s="4">
        <v>1.0</v>
      </c>
      <c r="O117" s="13"/>
      <c r="P117" s="14" t="s">
        <v>128</v>
      </c>
      <c r="Q117" s="2"/>
      <c r="R117" s="2"/>
      <c r="S117" s="2"/>
      <c r="T117" s="2"/>
      <c r="U117" s="2"/>
      <c r="V117" s="2"/>
      <c r="W117" s="2"/>
      <c r="X117" s="2"/>
      <c r="Y117" s="2"/>
      <c r="Z117" s="2"/>
    </row>
    <row r="118" ht="15.75" hidden="1" customHeight="1">
      <c r="A118" s="4" t="s">
        <v>712</v>
      </c>
      <c r="B118" s="4" t="s">
        <v>41</v>
      </c>
      <c r="C118" s="4" t="s">
        <v>713</v>
      </c>
      <c r="D118" s="4" t="s">
        <v>714</v>
      </c>
      <c r="E118" s="4" t="s">
        <v>558</v>
      </c>
      <c r="F118" s="10" t="s">
        <v>715</v>
      </c>
      <c r="G118" s="4" t="s">
        <v>29</v>
      </c>
      <c r="H118" s="4" t="s">
        <v>72</v>
      </c>
      <c r="I118" s="4" t="s">
        <v>141</v>
      </c>
      <c r="J118" s="11"/>
      <c r="K118" s="12" t="s">
        <v>64</v>
      </c>
      <c r="L118" s="15" t="s">
        <v>65</v>
      </c>
      <c r="M118" s="15" t="s">
        <v>560</v>
      </c>
      <c r="N118" s="4">
        <v>1.0</v>
      </c>
      <c r="O118" s="13"/>
      <c r="P118" s="13"/>
      <c r="Q118" s="2"/>
      <c r="R118" s="2"/>
      <c r="S118" s="2"/>
      <c r="T118" s="2"/>
      <c r="U118" s="2"/>
      <c r="V118" s="2"/>
      <c r="W118" s="2"/>
      <c r="X118" s="2"/>
      <c r="Y118" s="2"/>
      <c r="Z118" s="2"/>
    </row>
    <row r="119" ht="15.75" hidden="1" customHeight="1">
      <c r="A119" s="4" t="s">
        <v>716</v>
      </c>
      <c r="B119" s="4" t="s">
        <v>41</v>
      </c>
      <c r="C119" s="4" t="s">
        <v>717</v>
      </c>
      <c r="D119" s="4" t="s">
        <v>718</v>
      </c>
      <c r="E119" s="4" t="s">
        <v>152</v>
      </c>
      <c r="F119" s="10" t="s">
        <v>225</v>
      </c>
      <c r="G119" s="4" t="s">
        <v>28</v>
      </c>
      <c r="H119" s="4" t="s">
        <v>63</v>
      </c>
      <c r="I119" s="4"/>
      <c r="J119" s="11"/>
      <c r="K119" s="12" t="s">
        <v>64</v>
      </c>
      <c r="L119" s="15" t="s">
        <v>65</v>
      </c>
      <c r="M119" s="15" t="s">
        <v>154</v>
      </c>
      <c r="N119" s="4">
        <v>0.0</v>
      </c>
      <c r="O119" s="13"/>
      <c r="P119" s="13"/>
      <c r="Q119" s="2"/>
      <c r="R119" s="2"/>
      <c r="S119" s="2"/>
      <c r="T119" s="2"/>
      <c r="U119" s="2"/>
      <c r="V119" s="2"/>
      <c r="W119" s="2"/>
      <c r="X119" s="2"/>
      <c r="Y119" s="2"/>
      <c r="Z119" s="2"/>
    </row>
    <row r="120" ht="15.75" customHeight="1">
      <c r="A120" s="4" t="s">
        <v>719</v>
      </c>
      <c r="B120" s="4" t="s">
        <v>41</v>
      </c>
      <c r="C120" s="4" t="s">
        <v>720</v>
      </c>
      <c r="D120" s="4" t="s">
        <v>721</v>
      </c>
      <c r="E120" s="4" t="s">
        <v>567</v>
      </c>
      <c r="F120" s="10" t="s">
        <v>722</v>
      </c>
      <c r="G120" s="4" t="s">
        <v>27</v>
      </c>
      <c r="H120" s="4" t="s">
        <v>82</v>
      </c>
      <c r="I120" s="4" t="s">
        <v>99</v>
      </c>
      <c r="J120" s="12" t="s">
        <v>723</v>
      </c>
      <c r="K120" s="12" t="s">
        <v>74</v>
      </c>
      <c r="L120" s="15" t="s">
        <v>65</v>
      </c>
      <c r="M120" s="15" t="s">
        <v>724</v>
      </c>
      <c r="N120" s="4">
        <v>4.0</v>
      </c>
      <c r="O120" s="13"/>
      <c r="P120" s="14" t="s">
        <v>76</v>
      </c>
      <c r="Q120" s="2"/>
      <c r="R120" s="2"/>
      <c r="S120" s="2"/>
      <c r="T120" s="2"/>
      <c r="U120" s="2"/>
      <c r="V120" s="2"/>
      <c r="W120" s="2"/>
      <c r="X120" s="2"/>
      <c r="Y120" s="2"/>
      <c r="Z120" s="2"/>
    </row>
    <row r="121" ht="15.75" hidden="1" customHeight="1">
      <c r="A121" s="4" t="s">
        <v>725</v>
      </c>
      <c r="B121" s="4" t="s">
        <v>41</v>
      </c>
      <c r="C121" s="4" t="s">
        <v>572</v>
      </c>
      <c r="D121" s="4" t="s">
        <v>726</v>
      </c>
      <c r="E121" s="4" t="s">
        <v>574</v>
      </c>
      <c r="F121" s="10" t="s">
        <v>727</v>
      </c>
      <c r="G121" s="4" t="s">
        <v>29</v>
      </c>
      <c r="H121" s="4" t="s">
        <v>72</v>
      </c>
      <c r="I121" s="4"/>
      <c r="J121" s="11"/>
      <c r="K121" s="12" t="s">
        <v>64</v>
      </c>
      <c r="L121" s="15" t="s">
        <v>65</v>
      </c>
      <c r="M121" s="15" t="s">
        <v>728</v>
      </c>
      <c r="N121" s="4">
        <v>1.0</v>
      </c>
      <c r="O121" s="13"/>
      <c r="P121" s="13"/>
      <c r="Q121" s="2"/>
      <c r="R121" s="2"/>
      <c r="S121" s="2"/>
      <c r="T121" s="2"/>
      <c r="U121" s="2"/>
      <c r="V121" s="2"/>
      <c r="W121" s="2"/>
      <c r="X121" s="2"/>
      <c r="Y121" s="2"/>
      <c r="Z121" s="2"/>
    </row>
    <row r="122" ht="15.75" hidden="1" customHeight="1">
      <c r="A122" s="4" t="s">
        <v>729</v>
      </c>
      <c r="B122" s="4" t="s">
        <v>41</v>
      </c>
      <c r="C122" s="4" t="s">
        <v>730</v>
      </c>
      <c r="D122" s="4" t="s">
        <v>731</v>
      </c>
      <c r="E122" s="4" t="s">
        <v>152</v>
      </c>
      <c r="F122" s="10" t="s">
        <v>225</v>
      </c>
      <c r="G122" s="4" t="s">
        <v>28</v>
      </c>
      <c r="H122" s="4" t="s">
        <v>63</v>
      </c>
      <c r="I122" s="4"/>
      <c r="J122" s="11"/>
      <c r="K122" s="12" t="s">
        <v>64</v>
      </c>
      <c r="L122" s="15" t="s">
        <v>65</v>
      </c>
      <c r="M122" s="15" t="s">
        <v>154</v>
      </c>
      <c r="N122" s="4">
        <v>0.0</v>
      </c>
      <c r="O122" s="13"/>
      <c r="P122" s="13"/>
      <c r="Q122" s="2"/>
      <c r="R122" s="2"/>
      <c r="S122" s="2"/>
      <c r="T122" s="2"/>
      <c r="U122" s="2"/>
      <c r="V122" s="2"/>
      <c r="W122" s="2"/>
      <c r="X122" s="2"/>
      <c r="Y122" s="2"/>
      <c r="Z122" s="2"/>
    </row>
    <row r="123" ht="15.75" customHeight="1">
      <c r="A123" s="4" t="s">
        <v>732</v>
      </c>
      <c r="B123" s="4" t="s">
        <v>41</v>
      </c>
      <c r="C123" s="4" t="s">
        <v>733</v>
      </c>
      <c r="D123" s="4" t="s">
        <v>734</v>
      </c>
      <c r="E123" s="4" t="s">
        <v>735</v>
      </c>
      <c r="F123" s="10" t="s">
        <v>736</v>
      </c>
      <c r="G123" s="4" t="s">
        <v>27</v>
      </c>
      <c r="H123" s="4" t="s">
        <v>592</v>
      </c>
      <c r="I123" s="4" t="s">
        <v>99</v>
      </c>
      <c r="J123" s="15" t="s">
        <v>737</v>
      </c>
      <c r="K123" s="12" t="s">
        <v>74</v>
      </c>
      <c r="L123" s="15" t="s">
        <v>65</v>
      </c>
      <c r="M123" s="15" t="s">
        <v>738</v>
      </c>
      <c r="N123" s="4">
        <v>8.0</v>
      </c>
      <c r="O123" s="13"/>
      <c r="P123" s="14" t="s">
        <v>128</v>
      </c>
      <c r="Q123" s="2"/>
      <c r="R123" s="2"/>
      <c r="S123" s="2"/>
      <c r="T123" s="2"/>
      <c r="U123" s="2"/>
      <c r="V123" s="2"/>
      <c r="W123" s="2"/>
      <c r="X123" s="2"/>
      <c r="Y123" s="2"/>
      <c r="Z123" s="2"/>
    </row>
    <row r="124" ht="15.75" hidden="1" customHeight="1">
      <c r="A124" s="4" t="s">
        <v>739</v>
      </c>
      <c r="B124" s="4" t="s">
        <v>41</v>
      </c>
      <c r="C124" s="4" t="s">
        <v>740</v>
      </c>
      <c r="D124" s="4" t="s">
        <v>741</v>
      </c>
      <c r="E124" s="4" t="s">
        <v>742</v>
      </c>
      <c r="F124" s="10" t="s">
        <v>743</v>
      </c>
      <c r="G124" s="4" t="s">
        <v>29</v>
      </c>
      <c r="H124" s="4" t="s">
        <v>72</v>
      </c>
      <c r="I124" s="4"/>
      <c r="J124" s="11"/>
      <c r="K124" s="12" t="s">
        <v>64</v>
      </c>
      <c r="L124" s="15" t="s">
        <v>65</v>
      </c>
      <c r="M124" s="15" t="s">
        <v>600</v>
      </c>
      <c r="N124" s="4">
        <v>2.0</v>
      </c>
      <c r="O124" s="13"/>
      <c r="P124" s="13"/>
      <c r="Q124" s="2"/>
      <c r="R124" s="2"/>
      <c r="S124" s="2"/>
      <c r="T124" s="2"/>
      <c r="U124" s="2"/>
      <c r="V124" s="2"/>
      <c r="W124" s="2"/>
      <c r="X124" s="2"/>
      <c r="Y124" s="2"/>
      <c r="Z124" s="2"/>
    </row>
    <row r="125" ht="15.75" hidden="1" customHeight="1">
      <c r="A125" s="4" t="s">
        <v>744</v>
      </c>
      <c r="B125" s="4" t="s">
        <v>41</v>
      </c>
      <c r="C125" s="4" t="s">
        <v>745</v>
      </c>
      <c r="D125" s="4" t="s">
        <v>746</v>
      </c>
      <c r="E125" s="4" t="s">
        <v>152</v>
      </c>
      <c r="F125" s="10" t="s">
        <v>153</v>
      </c>
      <c r="G125" s="4" t="s">
        <v>28</v>
      </c>
      <c r="H125" s="4" t="s">
        <v>63</v>
      </c>
      <c r="I125" s="4"/>
      <c r="J125" s="11"/>
      <c r="K125" s="12" t="s">
        <v>64</v>
      </c>
      <c r="L125" s="15" t="s">
        <v>65</v>
      </c>
      <c r="M125" s="15" t="s">
        <v>154</v>
      </c>
      <c r="N125" s="4">
        <v>0.0</v>
      </c>
      <c r="O125" s="13"/>
      <c r="P125" s="13"/>
      <c r="Q125" s="2"/>
      <c r="R125" s="2"/>
      <c r="S125" s="2"/>
      <c r="T125" s="2"/>
      <c r="U125" s="2"/>
      <c r="V125" s="2"/>
      <c r="W125" s="2"/>
      <c r="X125" s="2"/>
      <c r="Y125" s="2"/>
      <c r="Z125" s="2"/>
    </row>
    <row r="126" ht="15.75" hidden="1" customHeight="1">
      <c r="A126" s="4" t="s">
        <v>747</v>
      </c>
      <c r="B126" s="4" t="s">
        <v>41</v>
      </c>
      <c r="C126" s="4" t="s">
        <v>748</v>
      </c>
      <c r="D126" s="4" t="s">
        <v>749</v>
      </c>
      <c r="E126" s="4" t="s">
        <v>607</v>
      </c>
      <c r="F126" s="10" t="s">
        <v>750</v>
      </c>
      <c r="G126" s="4" t="s">
        <v>29</v>
      </c>
      <c r="H126" s="4" t="s">
        <v>72</v>
      </c>
      <c r="I126" s="4"/>
      <c r="J126" s="11"/>
      <c r="K126" s="12" t="s">
        <v>64</v>
      </c>
      <c r="L126" s="15" t="s">
        <v>65</v>
      </c>
      <c r="M126" s="15" t="s">
        <v>609</v>
      </c>
      <c r="N126" s="4">
        <v>2.0</v>
      </c>
      <c r="O126" s="13"/>
      <c r="P126" s="13"/>
      <c r="Q126" s="2"/>
      <c r="R126" s="2"/>
      <c r="S126" s="2"/>
      <c r="T126" s="2"/>
      <c r="U126" s="2"/>
      <c r="V126" s="2"/>
      <c r="W126" s="2"/>
      <c r="X126" s="2"/>
      <c r="Y126" s="2"/>
      <c r="Z126" s="2"/>
    </row>
    <row r="127" ht="15.75" hidden="1" customHeight="1">
      <c r="A127" s="4" t="s">
        <v>751</v>
      </c>
      <c r="B127" s="4" t="s">
        <v>41</v>
      </c>
      <c r="C127" s="4" t="s">
        <v>752</v>
      </c>
      <c r="D127" s="4" t="s">
        <v>753</v>
      </c>
      <c r="E127" s="4" t="s">
        <v>152</v>
      </c>
      <c r="F127" s="10" t="s">
        <v>153</v>
      </c>
      <c r="G127" s="4" t="s">
        <v>28</v>
      </c>
      <c r="H127" s="4" t="s">
        <v>63</v>
      </c>
      <c r="I127" s="4"/>
      <c r="J127" s="11"/>
      <c r="K127" s="12" t="s">
        <v>64</v>
      </c>
      <c r="L127" s="15" t="s">
        <v>65</v>
      </c>
      <c r="M127" s="15" t="s">
        <v>154</v>
      </c>
      <c r="N127" s="4">
        <v>0.0</v>
      </c>
      <c r="O127" s="13"/>
      <c r="P127" s="13"/>
      <c r="Q127" s="2"/>
      <c r="R127" s="2"/>
      <c r="S127" s="2"/>
      <c r="T127" s="2"/>
      <c r="U127" s="2"/>
      <c r="V127" s="2"/>
      <c r="W127" s="2"/>
      <c r="X127" s="2"/>
      <c r="Y127" s="2"/>
      <c r="Z127" s="2"/>
    </row>
    <row r="128" ht="15.75" hidden="1" customHeight="1">
      <c r="A128" s="4" t="s">
        <v>754</v>
      </c>
      <c r="B128" s="4" t="s">
        <v>41</v>
      </c>
      <c r="C128" s="4" t="s">
        <v>755</v>
      </c>
      <c r="D128" s="4" t="s">
        <v>756</v>
      </c>
      <c r="E128" s="4" t="s">
        <v>615</v>
      </c>
      <c r="F128" s="10" t="s">
        <v>757</v>
      </c>
      <c r="G128" s="4" t="s">
        <v>29</v>
      </c>
      <c r="H128" s="4" t="s">
        <v>72</v>
      </c>
      <c r="I128" s="4"/>
      <c r="J128" s="11"/>
      <c r="K128" s="12" t="s">
        <v>64</v>
      </c>
      <c r="L128" s="15" t="s">
        <v>65</v>
      </c>
      <c r="M128" s="15" t="s">
        <v>617</v>
      </c>
      <c r="N128" s="4">
        <v>2.0</v>
      </c>
      <c r="O128" s="13"/>
      <c r="P128" s="13"/>
      <c r="Q128" s="2"/>
      <c r="R128" s="2"/>
      <c r="S128" s="2"/>
      <c r="T128" s="2"/>
      <c r="U128" s="2"/>
      <c r="V128" s="2"/>
      <c r="W128" s="2"/>
      <c r="X128" s="2"/>
      <c r="Y128" s="2"/>
      <c r="Z128" s="2"/>
    </row>
    <row r="129" ht="15.75" hidden="1" customHeight="1">
      <c r="A129" s="4" t="s">
        <v>758</v>
      </c>
      <c r="B129" s="4" t="s">
        <v>41</v>
      </c>
      <c r="C129" s="4" t="s">
        <v>759</v>
      </c>
      <c r="D129" s="4" t="s">
        <v>760</v>
      </c>
      <c r="E129" s="4" t="s">
        <v>152</v>
      </c>
      <c r="F129" s="10" t="s">
        <v>153</v>
      </c>
      <c r="G129" s="4" t="s">
        <v>28</v>
      </c>
      <c r="H129" s="4" t="s">
        <v>63</v>
      </c>
      <c r="I129" s="4"/>
      <c r="J129" s="11"/>
      <c r="K129" s="12" t="s">
        <v>64</v>
      </c>
      <c r="L129" s="15" t="s">
        <v>65</v>
      </c>
      <c r="M129" s="15" t="s">
        <v>154</v>
      </c>
      <c r="N129" s="4">
        <v>0.0</v>
      </c>
      <c r="O129" s="13"/>
      <c r="P129" s="13"/>
      <c r="Q129" s="2"/>
      <c r="R129" s="2"/>
      <c r="S129" s="2"/>
      <c r="T129" s="2"/>
      <c r="U129" s="2"/>
      <c r="V129" s="2"/>
      <c r="W129" s="2"/>
      <c r="X129" s="2"/>
      <c r="Y129" s="2"/>
      <c r="Z129" s="2"/>
    </row>
    <row r="130" ht="15.75" hidden="1" customHeight="1">
      <c r="A130" s="4" t="s">
        <v>761</v>
      </c>
      <c r="B130" s="4" t="s">
        <v>41</v>
      </c>
      <c r="C130" s="4" t="s">
        <v>762</v>
      </c>
      <c r="D130" s="4" t="s">
        <v>763</v>
      </c>
      <c r="E130" s="4" t="s">
        <v>624</v>
      </c>
      <c r="F130" s="10" t="s">
        <v>625</v>
      </c>
      <c r="G130" s="4" t="s">
        <v>29</v>
      </c>
      <c r="H130" s="4" t="s">
        <v>72</v>
      </c>
      <c r="I130" s="4"/>
      <c r="J130" s="11"/>
      <c r="K130" s="12" t="s">
        <v>64</v>
      </c>
      <c r="L130" s="15" t="s">
        <v>65</v>
      </c>
      <c r="M130" s="15" t="s">
        <v>626</v>
      </c>
      <c r="N130" s="4">
        <v>1.0</v>
      </c>
      <c r="O130" s="13"/>
      <c r="P130" s="13"/>
      <c r="Q130" s="2"/>
      <c r="R130" s="2"/>
      <c r="S130" s="2"/>
      <c r="T130" s="2"/>
      <c r="U130" s="2"/>
      <c r="V130" s="2"/>
      <c r="W130" s="2"/>
      <c r="X130" s="2"/>
      <c r="Y130" s="2"/>
      <c r="Z130" s="2"/>
    </row>
    <row r="131" ht="15.75" hidden="1" customHeight="1">
      <c r="A131" s="4" t="s">
        <v>764</v>
      </c>
      <c r="B131" s="4" t="s">
        <v>41</v>
      </c>
      <c r="C131" s="4" t="s">
        <v>765</v>
      </c>
      <c r="D131" s="4" t="s">
        <v>766</v>
      </c>
      <c r="E131" s="4" t="s">
        <v>152</v>
      </c>
      <c r="F131" s="10" t="s">
        <v>225</v>
      </c>
      <c r="G131" s="4" t="s">
        <v>28</v>
      </c>
      <c r="H131" s="4" t="s">
        <v>63</v>
      </c>
      <c r="I131" s="4"/>
      <c r="J131" s="11"/>
      <c r="K131" s="12" t="s">
        <v>64</v>
      </c>
      <c r="L131" s="15" t="s">
        <v>65</v>
      </c>
      <c r="M131" s="15" t="s">
        <v>154</v>
      </c>
      <c r="N131" s="4">
        <v>0.0</v>
      </c>
      <c r="O131" s="13"/>
      <c r="P131" s="13"/>
      <c r="Q131" s="2"/>
      <c r="R131" s="2"/>
      <c r="S131" s="2"/>
      <c r="T131" s="2"/>
      <c r="U131" s="2"/>
      <c r="V131" s="2"/>
      <c r="W131" s="2"/>
      <c r="X131" s="2"/>
      <c r="Y131" s="2"/>
      <c r="Z131" s="2"/>
    </row>
    <row r="132" ht="15.75" hidden="1" customHeight="1">
      <c r="A132" s="4" t="s">
        <v>767</v>
      </c>
      <c r="B132" s="4" t="s">
        <v>41</v>
      </c>
      <c r="C132" s="4" t="s">
        <v>768</v>
      </c>
      <c r="D132" s="4" t="s">
        <v>769</v>
      </c>
      <c r="E132" s="4" t="s">
        <v>770</v>
      </c>
      <c r="F132" s="10" t="s">
        <v>771</v>
      </c>
      <c r="G132" s="4" t="s">
        <v>28</v>
      </c>
      <c r="H132" s="4" t="s">
        <v>63</v>
      </c>
      <c r="I132" s="4" t="s">
        <v>141</v>
      </c>
      <c r="J132" s="11"/>
      <c r="K132" s="12" t="s">
        <v>64</v>
      </c>
      <c r="L132" s="15" t="s">
        <v>65</v>
      </c>
      <c r="M132" s="15" t="s">
        <v>772</v>
      </c>
      <c r="N132" s="4">
        <v>0.0</v>
      </c>
      <c r="O132" s="13"/>
      <c r="P132" s="13"/>
      <c r="Q132" s="2"/>
      <c r="R132" s="2"/>
      <c r="S132" s="2"/>
      <c r="T132" s="2"/>
      <c r="U132" s="2"/>
      <c r="V132" s="2"/>
      <c r="W132" s="2"/>
      <c r="X132" s="2"/>
      <c r="Y132" s="2"/>
      <c r="Z132" s="2"/>
    </row>
    <row r="133" ht="15.75" customHeight="1">
      <c r="A133" s="4" t="s">
        <v>773</v>
      </c>
      <c r="B133" s="4" t="s">
        <v>41</v>
      </c>
      <c r="C133" s="4" t="s">
        <v>774</v>
      </c>
      <c r="D133" s="4" t="s">
        <v>775</v>
      </c>
      <c r="E133" s="4" t="s">
        <v>776</v>
      </c>
      <c r="F133" s="10" t="s">
        <v>777</v>
      </c>
      <c r="G133" s="4" t="s">
        <v>27</v>
      </c>
      <c r="H133" s="4" t="s">
        <v>82</v>
      </c>
      <c r="I133" s="4" t="s">
        <v>99</v>
      </c>
      <c r="J133" s="12" t="s">
        <v>778</v>
      </c>
      <c r="K133" s="12" t="s">
        <v>74</v>
      </c>
      <c r="L133" s="15" t="s">
        <v>65</v>
      </c>
      <c r="M133" s="15" t="s">
        <v>779</v>
      </c>
      <c r="N133" s="4">
        <v>2.0</v>
      </c>
      <c r="O133" s="13"/>
      <c r="P133" s="14" t="s">
        <v>93</v>
      </c>
      <c r="Q133" s="2"/>
      <c r="R133" s="2"/>
      <c r="S133" s="2"/>
      <c r="T133" s="2"/>
      <c r="U133" s="2"/>
      <c r="V133" s="2"/>
      <c r="W133" s="2"/>
      <c r="X133" s="2"/>
      <c r="Y133" s="2"/>
      <c r="Z133" s="2"/>
    </row>
    <row r="134" ht="15.75" customHeight="1">
      <c r="A134" s="4" t="s">
        <v>780</v>
      </c>
      <c r="B134" s="4" t="s">
        <v>41</v>
      </c>
      <c r="C134" s="4" t="s">
        <v>781</v>
      </c>
      <c r="D134" s="4" t="s">
        <v>782</v>
      </c>
      <c r="E134" s="4" t="s">
        <v>783</v>
      </c>
      <c r="F134" s="10" t="s">
        <v>784</v>
      </c>
      <c r="G134" s="4" t="s">
        <v>27</v>
      </c>
      <c r="H134" s="4" t="s">
        <v>82</v>
      </c>
      <c r="I134" s="4" t="s">
        <v>99</v>
      </c>
      <c r="J134" s="15" t="s">
        <v>785</v>
      </c>
      <c r="K134" s="12" t="s">
        <v>74</v>
      </c>
      <c r="L134" s="15" t="s">
        <v>65</v>
      </c>
      <c r="M134" s="15" t="s">
        <v>786</v>
      </c>
      <c r="N134" s="4">
        <v>1.0</v>
      </c>
      <c r="O134" s="13"/>
      <c r="P134" s="14" t="s">
        <v>76</v>
      </c>
      <c r="Q134" s="2"/>
      <c r="R134" s="2"/>
      <c r="S134" s="2"/>
      <c r="T134" s="2"/>
      <c r="U134" s="2"/>
      <c r="V134" s="2"/>
      <c r="W134" s="2"/>
      <c r="X134" s="2"/>
      <c r="Y134" s="2"/>
      <c r="Z134" s="2"/>
    </row>
    <row r="135" ht="15.75" customHeight="1">
      <c r="A135" s="4" t="s">
        <v>787</v>
      </c>
      <c r="B135" s="4" t="s">
        <v>41</v>
      </c>
      <c r="C135" s="4" t="s">
        <v>788</v>
      </c>
      <c r="D135" s="4" t="s">
        <v>789</v>
      </c>
      <c r="E135" s="4" t="s">
        <v>790</v>
      </c>
      <c r="F135" s="10" t="s">
        <v>791</v>
      </c>
      <c r="G135" s="4" t="s">
        <v>27</v>
      </c>
      <c r="H135" s="4" t="s">
        <v>82</v>
      </c>
      <c r="I135" s="4" t="s">
        <v>99</v>
      </c>
      <c r="J135" s="12" t="s">
        <v>641</v>
      </c>
      <c r="K135" s="12" t="s">
        <v>74</v>
      </c>
      <c r="L135" s="15" t="s">
        <v>65</v>
      </c>
      <c r="M135" s="15" t="s">
        <v>792</v>
      </c>
      <c r="N135" s="4">
        <v>2.0</v>
      </c>
      <c r="O135" s="13"/>
      <c r="P135" s="14" t="s">
        <v>76</v>
      </c>
      <c r="Q135" s="2"/>
      <c r="R135" s="2"/>
      <c r="S135" s="2"/>
      <c r="T135" s="2"/>
      <c r="U135" s="2"/>
      <c r="V135" s="2"/>
      <c r="W135" s="2"/>
      <c r="X135" s="2"/>
      <c r="Y135" s="2"/>
      <c r="Z135" s="2"/>
    </row>
    <row r="136" ht="15.75" customHeight="1">
      <c r="A136" s="4" t="s">
        <v>793</v>
      </c>
      <c r="B136" s="4" t="s">
        <v>41</v>
      </c>
      <c r="C136" s="4" t="s">
        <v>794</v>
      </c>
      <c r="D136" s="4" t="s">
        <v>795</v>
      </c>
      <c r="E136" s="4" t="s">
        <v>796</v>
      </c>
      <c r="F136" s="10" t="s">
        <v>797</v>
      </c>
      <c r="G136" s="4" t="s">
        <v>27</v>
      </c>
      <c r="H136" s="4" t="s">
        <v>82</v>
      </c>
      <c r="I136" s="4" t="s">
        <v>99</v>
      </c>
      <c r="J136" s="12" t="s">
        <v>798</v>
      </c>
      <c r="K136" s="12" t="s">
        <v>74</v>
      </c>
      <c r="L136" s="15" t="s">
        <v>65</v>
      </c>
      <c r="M136" s="15" t="s">
        <v>799</v>
      </c>
      <c r="N136" s="4">
        <v>1.0</v>
      </c>
      <c r="O136" s="13"/>
      <c r="P136" s="14" t="s">
        <v>76</v>
      </c>
      <c r="Q136" s="2"/>
      <c r="R136" s="2"/>
      <c r="S136" s="2"/>
      <c r="T136" s="2"/>
      <c r="U136" s="2"/>
      <c r="V136" s="2"/>
      <c r="W136" s="2"/>
      <c r="X136" s="2"/>
      <c r="Y136" s="2"/>
      <c r="Z136" s="2"/>
    </row>
    <row r="137" ht="15.75" customHeight="1">
      <c r="A137" s="4" t="s">
        <v>800</v>
      </c>
      <c r="B137" s="4" t="s">
        <v>41</v>
      </c>
      <c r="C137" s="4" t="s">
        <v>801</v>
      </c>
      <c r="D137" s="4" t="s">
        <v>802</v>
      </c>
      <c r="E137" s="4" t="s">
        <v>803</v>
      </c>
      <c r="F137" s="10" t="s">
        <v>804</v>
      </c>
      <c r="G137" s="4" t="s">
        <v>27</v>
      </c>
      <c r="H137" s="4" t="s">
        <v>82</v>
      </c>
      <c r="I137" s="4" t="s">
        <v>99</v>
      </c>
      <c r="J137" s="12" t="s">
        <v>805</v>
      </c>
      <c r="K137" s="12" t="s">
        <v>74</v>
      </c>
      <c r="L137" s="15" t="s">
        <v>65</v>
      </c>
      <c r="M137" s="15" t="s">
        <v>806</v>
      </c>
      <c r="N137" s="4">
        <v>2.0</v>
      </c>
      <c r="O137" s="13"/>
      <c r="P137" s="14" t="s">
        <v>76</v>
      </c>
      <c r="Q137" s="2"/>
      <c r="R137" s="2"/>
      <c r="S137" s="2"/>
      <c r="T137" s="2"/>
      <c r="U137" s="2"/>
      <c r="V137" s="2"/>
      <c r="W137" s="2"/>
      <c r="X137" s="2"/>
      <c r="Y137" s="2"/>
      <c r="Z137" s="2"/>
    </row>
    <row r="138" ht="15.75" customHeight="1">
      <c r="A138" s="4" t="s">
        <v>807</v>
      </c>
      <c r="B138" s="4" t="s">
        <v>41</v>
      </c>
      <c r="C138" s="4" t="s">
        <v>808</v>
      </c>
      <c r="D138" s="4" t="s">
        <v>809</v>
      </c>
      <c r="E138" s="4" t="s">
        <v>810</v>
      </c>
      <c r="F138" s="10" t="s">
        <v>811</v>
      </c>
      <c r="G138" s="4" t="s">
        <v>27</v>
      </c>
      <c r="H138" s="4" t="s">
        <v>82</v>
      </c>
      <c r="I138" s="4" t="s">
        <v>99</v>
      </c>
      <c r="J138" s="12" t="s">
        <v>655</v>
      </c>
      <c r="K138" s="12" t="s">
        <v>74</v>
      </c>
      <c r="L138" s="15" t="s">
        <v>65</v>
      </c>
      <c r="M138" s="15" t="s">
        <v>812</v>
      </c>
      <c r="N138" s="4">
        <v>1.0</v>
      </c>
      <c r="O138" s="13"/>
      <c r="P138" s="14" t="s">
        <v>76</v>
      </c>
      <c r="Q138" s="2"/>
      <c r="R138" s="2"/>
      <c r="S138" s="2"/>
      <c r="T138" s="2"/>
      <c r="U138" s="2"/>
      <c r="V138" s="2"/>
      <c r="W138" s="2"/>
      <c r="X138" s="2"/>
      <c r="Y138" s="2"/>
      <c r="Z138" s="2"/>
    </row>
    <row r="139" ht="15.75" customHeight="1">
      <c r="A139" s="4" t="s">
        <v>813</v>
      </c>
      <c r="B139" s="4" t="s">
        <v>41</v>
      </c>
      <c r="C139" s="4" t="s">
        <v>814</v>
      </c>
      <c r="D139" s="4" t="s">
        <v>815</v>
      </c>
      <c r="E139" s="4" t="s">
        <v>816</v>
      </c>
      <c r="F139" s="10" t="s">
        <v>817</v>
      </c>
      <c r="G139" s="4" t="s">
        <v>27</v>
      </c>
      <c r="H139" s="4" t="s">
        <v>82</v>
      </c>
      <c r="I139" s="4"/>
      <c r="J139" s="12" t="s">
        <v>661</v>
      </c>
      <c r="K139" s="12" t="s">
        <v>74</v>
      </c>
      <c r="L139" s="15" t="s">
        <v>65</v>
      </c>
      <c r="M139" s="15" t="s">
        <v>818</v>
      </c>
      <c r="N139" s="4">
        <v>3.0</v>
      </c>
      <c r="O139" s="13"/>
      <c r="P139" s="14" t="s">
        <v>76</v>
      </c>
      <c r="Q139" s="2"/>
      <c r="R139" s="2"/>
      <c r="S139" s="2"/>
      <c r="T139" s="2"/>
      <c r="U139" s="2"/>
      <c r="V139" s="2"/>
      <c r="W139" s="2"/>
      <c r="X139" s="2"/>
      <c r="Y139" s="2"/>
      <c r="Z139" s="2"/>
    </row>
    <row r="140" ht="15.75" customHeight="1">
      <c r="A140" s="4" t="s">
        <v>819</v>
      </c>
      <c r="B140" s="4" t="s">
        <v>41</v>
      </c>
      <c r="C140" s="4" t="s">
        <v>820</v>
      </c>
      <c r="D140" s="4" t="s">
        <v>821</v>
      </c>
      <c r="E140" s="4" t="s">
        <v>822</v>
      </c>
      <c r="F140" s="10" t="s">
        <v>823</v>
      </c>
      <c r="G140" s="4" t="s">
        <v>27</v>
      </c>
      <c r="H140" s="4" t="s">
        <v>82</v>
      </c>
      <c r="I140" s="4" t="s">
        <v>99</v>
      </c>
      <c r="J140" s="12" t="s">
        <v>668</v>
      </c>
      <c r="K140" s="12" t="s">
        <v>74</v>
      </c>
      <c r="L140" s="15" t="s">
        <v>65</v>
      </c>
      <c r="M140" s="15" t="s">
        <v>824</v>
      </c>
      <c r="N140" s="4">
        <v>1.0</v>
      </c>
      <c r="O140" s="13"/>
      <c r="P140" s="14" t="s">
        <v>128</v>
      </c>
      <c r="Q140" s="2"/>
      <c r="R140" s="2"/>
      <c r="S140" s="2"/>
      <c r="T140" s="2"/>
      <c r="U140" s="2"/>
      <c r="V140" s="2"/>
      <c r="W140" s="2"/>
      <c r="X140" s="2"/>
      <c r="Y140" s="2"/>
      <c r="Z140" s="2"/>
    </row>
    <row r="141" ht="15.75" hidden="1" customHeight="1">
      <c r="A141" s="4" t="s">
        <v>825</v>
      </c>
      <c r="B141" s="4" t="s">
        <v>38</v>
      </c>
      <c r="C141" s="4" t="s">
        <v>826</v>
      </c>
      <c r="D141" s="4" t="s">
        <v>827</v>
      </c>
      <c r="E141" s="4" t="s">
        <v>828</v>
      </c>
      <c r="F141" s="10" t="s">
        <v>829</v>
      </c>
      <c r="G141" s="4" t="s">
        <v>830</v>
      </c>
      <c r="H141" s="4" t="s">
        <v>831</v>
      </c>
      <c r="I141" s="4"/>
      <c r="J141" s="15" t="s">
        <v>832</v>
      </c>
      <c r="K141" s="12" t="s">
        <v>74</v>
      </c>
      <c r="L141" s="15" t="s">
        <v>65</v>
      </c>
      <c r="M141" s="15" t="s">
        <v>833</v>
      </c>
      <c r="N141" s="4"/>
      <c r="O141" s="13"/>
      <c r="P141" s="14" t="s">
        <v>128</v>
      </c>
      <c r="Q141" s="2"/>
      <c r="R141" s="2"/>
      <c r="S141" s="2"/>
      <c r="T141" s="2"/>
      <c r="U141" s="2"/>
      <c r="V141" s="2"/>
      <c r="W141" s="2"/>
      <c r="X141" s="2"/>
      <c r="Y141" s="2"/>
      <c r="Z141" s="2"/>
    </row>
    <row r="142" ht="15.75" hidden="1" customHeight="1">
      <c r="A142" s="4" t="s">
        <v>834</v>
      </c>
      <c r="B142" s="4" t="s">
        <v>38</v>
      </c>
      <c r="C142" s="4" t="s">
        <v>835</v>
      </c>
      <c r="D142" s="4" t="s">
        <v>836</v>
      </c>
      <c r="E142" s="4" t="s">
        <v>837</v>
      </c>
      <c r="F142" s="10" t="s">
        <v>838</v>
      </c>
      <c r="G142" s="4" t="s">
        <v>830</v>
      </c>
      <c r="H142" s="4" t="s">
        <v>831</v>
      </c>
      <c r="I142" s="4"/>
      <c r="J142" s="12" t="s">
        <v>839</v>
      </c>
      <c r="K142" s="15" t="s">
        <v>240</v>
      </c>
      <c r="L142" s="12" t="s">
        <v>241</v>
      </c>
      <c r="M142" s="15" t="s">
        <v>840</v>
      </c>
      <c r="N142" s="4"/>
      <c r="O142" s="13"/>
      <c r="P142" s="13"/>
      <c r="Q142" s="2"/>
      <c r="R142" s="2"/>
      <c r="S142" s="2"/>
      <c r="T142" s="2"/>
      <c r="U142" s="2"/>
      <c r="V142" s="2"/>
      <c r="W142" s="2"/>
      <c r="X142" s="2"/>
      <c r="Y142" s="2"/>
      <c r="Z142" s="2"/>
    </row>
    <row r="143" ht="15.75" hidden="1" customHeight="1">
      <c r="A143" s="4" t="s">
        <v>841</v>
      </c>
      <c r="B143" s="4" t="s">
        <v>39</v>
      </c>
      <c r="C143" s="4" t="s">
        <v>842</v>
      </c>
      <c r="D143" s="4" t="s">
        <v>843</v>
      </c>
      <c r="E143" s="4" t="s">
        <v>844</v>
      </c>
      <c r="F143" s="10" t="s">
        <v>845</v>
      </c>
      <c r="G143" s="4" t="s">
        <v>830</v>
      </c>
      <c r="H143" s="4" t="s">
        <v>831</v>
      </c>
      <c r="I143" s="4"/>
      <c r="J143" s="12" t="s">
        <v>846</v>
      </c>
      <c r="K143" s="15" t="s">
        <v>240</v>
      </c>
      <c r="L143" s="12" t="s">
        <v>241</v>
      </c>
      <c r="M143" s="15" t="s">
        <v>847</v>
      </c>
      <c r="N143" s="4"/>
      <c r="O143" s="13"/>
      <c r="P143" s="13"/>
      <c r="Q143" s="2"/>
      <c r="R143" s="2"/>
      <c r="S143" s="2"/>
      <c r="T143" s="2"/>
      <c r="U143" s="2"/>
      <c r="V143" s="2"/>
      <c r="W143" s="2"/>
      <c r="X143" s="2"/>
      <c r="Y143" s="2"/>
      <c r="Z143" s="2"/>
    </row>
    <row r="144" ht="15.75" hidden="1" customHeight="1">
      <c r="A144" s="4" t="s">
        <v>848</v>
      </c>
      <c r="B144" s="4" t="s">
        <v>39</v>
      </c>
      <c r="C144" s="4" t="s">
        <v>849</v>
      </c>
      <c r="D144" s="4" t="s">
        <v>850</v>
      </c>
      <c r="E144" s="4" t="s">
        <v>851</v>
      </c>
      <c r="F144" s="10" t="s">
        <v>852</v>
      </c>
      <c r="G144" s="4" t="s">
        <v>830</v>
      </c>
      <c r="H144" s="4" t="s">
        <v>831</v>
      </c>
      <c r="I144" s="4"/>
      <c r="J144" s="12" t="s">
        <v>853</v>
      </c>
      <c r="K144" s="12" t="s">
        <v>74</v>
      </c>
      <c r="L144" s="15" t="s">
        <v>65</v>
      </c>
      <c r="M144" s="15" t="s">
        <v>854</v>
      </c>
      <c r="N144" s="4"/>
      <c r="O144" s="13"/>
      <c r="P144" s="14" t="s">
        <v>76</v>
      </c>
      <c r="Q144" s="2"/>
      <c r="R144" s="2"/>
      <c r="S144" s="2"/>
      <c r="T144" s="2"/>
      <c r="U144" s="2"/>
      <c r="V144" s="2"/>
      <c r="W144" s="2"/>
      <c r="X144" s="2"/>
      <c r="Y144" s="2"/>
      <c r="Z144" s="2"/>
    </row>
    <row r="145" ht="15.75" hidden="1" customHeight="1">
      <c r="A145" s="4" t="s">
        <v>855</v>
      </c>
      <c r="B145" s="4" t="s">
        <v>39</v>
      </c>
      <c r="C145" s="4" t="s">
        <v>856</v>
      </c>
      <c r="D145" s="4" t="s">
        <v>857</v>
      </c>
      <c r="E145" s="4" t="s">
        <v>858</v>
      </c>
      <c r="F145" s="10" t="s">
        <v>859</v>
      </c>
      <c r="G145" s="4" t="s">
        <v>830</v>
      </c>
      <c r="H145" s="4" t="s">
        <v>831</v>
      </c>
      <c r="I145" s="4"/>
      <c r="J145" s="12" t="s">
        <v>860</v>
      </c>
      <c r="K145" s="12" t="s">
        <v>74</v>
      </c>
      <c r="L145" s="15" t="s">
        <v>65</v>
      </c>
      <c r="M145" s="15" t="s">
        <v>861</v>
      </c>
      <c r="N145" s="4"/>
      <c r="O145" s="13"/>
      <c r="P145" s="14" t="s">
        <v>76</v>
      </c>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P$145">
    <filterColumn colId="10">
      <filters>
        <filter val="regra de negócio"/>
      </filters>
    </filterColumn>
    <filterColumn colId="11">
      <filters>
        <filter val="A validar"/>
      </filters>
    </filterColumn>
  </autoFilter>
  <dataValidations>
    <dataValidation type="list" allowBlank="1" sqref="L2:L142 L144:L145">
      <formula1>"A validar,Validado"</formula1>
    </dataValidation>
    <dataValidation type="list" allowBlank="1" sqref="P2:P145">
      <formula1>"Sim,Não,Incompleto"</formula1>
    </dataValidation>
    <dataValidation type="list" allowBlank="1" sqref="L143">
      <formula1>"A validar,Validado"</formula1>
    </dataValidation>
    <dataValidation type="list" allowBlank="1" sqref="K2:K145">
      <formula1>"regra de negócio,infraestrutura (excluída),a discutir"</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5.0"/>
    <col customWidth="1" min="2" max="2" width="15.14"/>
    <col customWidth="1" min="3" max="4" width="11.0"/>
    <col customWidth="1" min="5" max="5" width="60.0"/>
    <col customWidth="1" min="6" max="6" width="72.0"/>
    <col customWidth="1" min="7" max="7" width="30.0"/>
    <col customWidth="1" min="8" max="8" width="24.0"/>
    <col customWidth="1" min="9" max="9" width="16.0"/>
  </cols>
  <sheetData>
    <row r="1" ht="30.0" customHeight="1">
      <c r="A1" s="6" t="s">
        <v>44</v>
      </c>
      <c r="B1" s="6" t="s">
        <v>23</v>
      </c>
      <c r="C1" s="6" t="s">
        <v>45</v>
      </c>
      <c r="D1" s="6" t="s">
        <v>46</v>
      </c>
      <c r="E1" s="6" t="s">
        <v>47</v>
      </c>
      <c r="F1" s="6" t="s">
        <v>48</v>
      </c>
      <c r="G1" s="6" t="s">
        <v>862</v>
      </c>
      <c r="H1" s="6" t="s">
        <v>13</v>
      </c>
      <c r="I1" s="6" t="s">
        <v>863</v>
      </c>
      <c r="J1" s="2"/>
      <c r="K1" s="2"/>
      <c r="L1" s="2"/>
      <c r="M1" s="2"/>
      <c r="N1" s="2"/>
      <c r="O1" s="2"/>
      <c r="P1" s="2"/>
      <c r="Q1" s="2"/>
      <c r="R1" s="2"/>
      <c r="S1" s="2"/>
      <c r="T1" s="2"/>
      <c r="U1" s="2"/>
      <c r="V1" s="2"/>
      <c r="W1" s="2"/>
      <c r="X1" s="2"/>
      <c r="Y1" s="2"/>
      <c r="Z1" s="2"/>
    </row>
    <row r="2">
      <c r="A2" s="4" t="s">
        <v>864</v>
      </c>
      <c r="B2" s="4" t="s">
        <v>38</v>
      </c>
      <c r="C2" s="4" t="s">
        <v>865</v>
      </c>
      <c r="D2" s="4" t="s">
        <v>866</v>
      </c>
      <c r="E2" s="4" t="s">
        <v>867</v>
      </c>
      <c r="F2" s="10" t="s">
        <v>868</v>
      </c>
      <c r="G2" s="4" t="s">
        <v>869</v>
      </c>
      <c r="H2" s="4" t="s">
        <v>870</v>
      </c>
      <c r="I2" s="13" t="s">
        <v>871</v>
      </c>
      <c r="J2" s="2"/>
      <c r="K2" s="2"/>
      <c r="L2" s="2"/>
      <c r="M2" s="2"/>
      <c r="N2" s="2"/>
      <c r="O2" s="2"/>
      <c r="P2" s="2"/>
      <c r="Q2" s="2"/>
      <c r="R2" s="2"/>
      <c r="S2" s="2"/>
      <c r="T2" s="2"/>
      <c r="U2" s="2"/>
      <c r="V2" s="2"/>
      <c r="W2" s="2"/>
      <c r="X2" s="2"/>
      <c r="Y2" s="2"/>
      <c r="Z2" s="2"/>
    </row>
    <row r="3">
      <c r="A3" s="4" t="s">
        <v>872</v>
      </c>
      <c r="B3" s="4" t="s">
        <v>38</v>
      </c>
      <c r="C3" s="4" t="s">
        <v>873</v>
      </c>
      <c r="D3" s="4" t="s">
        <v>874</v>
      </c>
      <c r="E3" s="4" t="s">
        <v>875</v>
      </c>
      <c r="F3" s="10" t="s">
        <v>876</v>
      </c>
      <c r="G3" s="4" t="s">
        <v>869</v>
      </c>
      <c r="H3" s="4" t="s">
        <v>877</v>
      </c>
      <c r="I3" s="13" t="s">
        <v>871</v>
      </c>
      <c r="J3" s="2"/>
      <c r="K3" s="2"/>
      <c r="L3" s="2"/>
      <c r="M3" s="2"/>
      <c r="N3" s="2"/>
      <c r="O3" s="2"/>
      <c r="P3" s="2"/>
      <c r="Q3" s="2"/>
      <c r="R3" s="2"/>
      <c r="S3" s="2"/>
      <c r="T3" s="2"/>
      <c r="U3" s="2"/>
      <c r="V3" s="2"/>
      <c r="W3" s="2"/>
      <c r="X3" s="2"/>
      <c r="Y3" s="2"/>
      <c r="Z3" s="2"/>
    </row>
    <row r="4">
      <c r="A4" s="4" t="s">
        <v>878</v>
      </c>
      <c r="B4" s="4" t="s">
        <v>38</v>
      </c>
      <c r="C4" s="4" t="s">
        <v>879</v>
      </c>
      <c r="D4" s="4" t="s">
        <v>880</v>
      </c>
      <c r="E4" s="4" t="s">
        <v>881</v>
      </c>
      <c r="F4" s="10" t="s">
        <v>882</v>
      </c>
      <c r="G4" s="4" t="s">
        <v>869</v>
      </c>
      <c r="H4" s="4"/>
      <c r="I4" s="13" t="s">
        <v>871</v>
      </c>
      <c r="J4" s="2"/>
      <c r="K4" s="2"/>
      <c r="L4" s="2"/>
      <c r="M4" s="2"/>
      <c r="N4" s="2"/>
      <c r="O4" s="2"/>
      <c r="P4" s="2"/>
      <c r="Q4" s="2"/>
      <c r="R4" s="2"/>
      <c r="S4" s="2"/>
      <c r="T4" s="2"/>
      <c r="U4" s="2"/>
      <c r="V4" s="2"/>
      <c r="W4" s="2"/>
      <c r="X4" s="2"/>
      <c r="Y4" s="2"/>
      <c r="Z4" s="2"/>
    </row>
    <row r="5">
      <c r="A5" s="4" t="s">
        <v>883</v>
      </c>
      <c r="B5" s="4" t="s">
        <v>38</v>
      </c>
      <c r="C5" s="4" t="s">
        <v>884</v>
      </c>
      <c r="D5" s="4" t="s">
        <v>885</v>
      </c>
      <c r="E5" s="4" t="s">
        <v>434</v>
      </c>
      <c r="F5" s="10" t="s">
        <v>886</v>
      </c>
      <c r="G5" s="4" t="s">
        <v>869</v>
      </c>
      <c r="H5" s="4" t="s">
        <v>887</v>
      </c>
      <c r="I5" s="13" t="s">
        <v>871</v>
      </c>
      <c r="J5" s="2"/>
      <c r="K5" s="2"/>
      <c r="L5" s="2"/>
      <c r="M5" s="2"/>
      <c r="N5" s="2"/>
      <c r="O5" s="2"/>
      <c r="P5" s="2"/>
      <c r="Q5" s="2"/>
      <c r="R5" s="2"/>
      <c r="S5" s="2"/>
      <c r="T5" s="2"/>
      <c r="U5" s="2"/>
      <c r="V5" s="2"/>
      <c r="W5" s="2"/>
      <c r="X5" s="2"/>
      <c r="Y5" s="2"/>
      <c r="Z5" s="2"/>
    </row>
    <row r="6">
      <c r="A6" s="4" t="s">
        <v>825</v>
      </c>
      <c r="B6" s="4" t="s">
        <v>38</v>
      </c>
      <c r="C6" s="4" t="s">
        <v>826</v>
      </c>
      <c r="D6" s="4" t="s">
        <v>827</v>
      </c>
      <c r="E6" s="4" t="s">
        <v>828</v>
      </c>
      <c r="F6" s="10" t="s">
        <v>829</v>
      </c>
      <c r="G6" s="4" t="s">
        <v>869</v>
      </c>
      <c r="H6" s="4" t="s">
        <v>888</v>
      </c>
      <c r="I6" s="13" t="s">
        <v>889</v>
      </c>
      <c r="J6" s="2"/>
      <c r="K6" s="2"/>
      <c r="L6" s="2"/>
      <c r="M6" s="2"/>
      <c r="N6" s="2"/>
      <c r="O6" s="2"/>
      <c r="P6" s="2"/>
      <c r="Q6" s="2"/>
      <c r="R6" s="2"/>
      <c r="S6" s="2"/>
      <c r="T6" s="2"/>
      <c r="U6" s="2"/>
      <c r="V6" s="2"/>
      <c r="W6" s="2"/>
      <c r="X6" s="2"/>
      <c r="Y6" s="2"/>
      <c r="Z6" s="2"/>
    </row>
    <row r="7">
      <c r="A7" s="4" t="s">
        <v>890</v>
      </c>
      <c r="B7" s="4" t="s">
        <v>38</v>
      </c>
      <c r="C7" s="4" t="s">
        <v>891</v>
      </c>
      <c r="D7" s="4" t="s">
        <v>892</v>
      </c>
      <c r="E7" s="4" t="s">
        <v>893</v>
      </c>
      <c r="F7" s="10" t="s">
        <v>894</v>
      </c>
      <c r="G7" s="4" t="s">
        <v>869</v>
      </c>
      <c r="H7" s="4"/>
      <c r="I7" s="13" t="s">
        <v>871</v>
      </c>
      <c r="J7" s="2"/>
      <c r="K7" s="2"/>
      <c r="L7" s="2"/>
      <c r="M7" s="2"/>
      <c r="N7" s="2"/>
      <c r="O7" s="2"/>
      <c r="P7" s="2"/>
      <c r="Q7" s="2"/>
      <c r="R7" s="2"/>
      <c r="S7" s="2"/>
      <c r="T7" s="2"/>
      <c r="U7" s="2"/>
      <c r="V7" s="2"/>
      <c r="W7" s="2"/>
      <c r="X7" s="2"/>
      <c r="Y7" s="2"/>
      <c r="Z7" s="2"/>
    </row>
    <row r="8">
      <c r="A8" s="4" t="s">
        <v>895</v>
      </c>
      <c r="B8" s="4" t="s">
        <v>38</v>
      </c>
      <c r="C8" s="4" t="s">
        <v>896</v>
      </c>
      <c r="D8" s="4" t="s">
        <v>897</v>
      </c>
      <c r="E8" s="4" t="s">
        <v>434</v>
      </c>
      <c r="F8" s="10" t="s">
        <v>886</v>
      </c>
      <c r="G8" s="4" t="s">
        <v>869</v>
      </c>
      <c r="H8" s="4" t="s">
        <v>887</v>
      </c>
      <c r="I8" s="13" t="s">
        <v>871</v>
      </c>
      <c r="J8" s="2"/>
      <c r="K8" s="2"/>
      <c r="L8" s="2"/>
      <c r="M8" s="2"/>
      <c r="N8" s="2"/>
      <c r="O8" s="2"/>
      <c r="P8" s="2"/>
      <c r="Q8" s="2"/>
      <c r="R8" s="2"/>
      <c r="S8" s="2"/>
      <c r="T8" s="2"/>
      <c r="U8" s="2"/>
      <c r="V8" s="2"/>
      <c r="W8" s="2"/>
      <c r="X8" s="2"/>
      <c r="Y8" s="2"/>
      <c r="Z8" s="2"/>
    </row>
    <row r="9">
      <c r="A9" s="4" t="s">
        <v>834</v>
      </c>
      <c r="B9" s="4" t="s">
        <v>38</v>
      </c>
      <c r="C9" s="4" t="s">
        <v>835</v>
      </c>
      <c r="D9" s="4" t="s">
        <v>836</v>
      </c>
      <c r="E9" s="4" t="s">
        <v>837</v>
      </c>
      <c r="F9" s="10" t="s">
        <v>838</v>
      </c>
      <c r="G9" s="4" t="s">
        <v>869</v>
      </c>
      <c r="H9" s="4" t="s">
        <v>870</v>
      </c>
      <c r="I9" s="13" t="s">
        <v>889</v>
      </c>
      <c r="J9" s="2"/>
      <c r="K9" s="2"/>
      <c r="L9" s="2"/>
      <c r="M9" s="2"/>
      <c r="N9" s="2"/>
      <c r="O9" s="2"/>
      <c r="P9" s="2"/>
      <c r="Q9" s="2"/>
      <c r="R9" s="2"/>
      <c r="S9" s="2"/>
      <c r="T9" s="2"/>
      <c r="U9" s="2"/>
      <c r="V9" s="2"/>
      <c r="W9" s="2"/>
      <c r="X9" s="2"/>
      <c r="Y9" s="2"/>
      <c r="Z9" s="2"/>
    </row>
    <row r="10">
      <c r="A10" s="4" t="s">
        <v>898</v>
      </c>
      <c r="B10" s="4" t="s">
        <v>38</v>
      </c>
      <c r="C10" s="4" t="s">
        <v>899</v>
      </c>
      <c r="D10" s="4" t="s">
        <v>900</v>
      </c>
      <c r="E10" s="4" t="s">
        <v>901</v>
      </c>
      <c r="F10" s="10" t="s">
        <v>902</v>
      </c>
      <c r="G10" s="4" t="s">
        <v>869</v>
      </c>
      <c r="H10" s="4" t="s">
        <v>877</v>
      </c>
      <c r="I10" s="13" t="s">
        <v>871</v>
      </c>
      <c r="J10" s="2"/>
      <c r="K10" s="2"/>
      <c r="L10" s="2"/>
      <c r="M10" s="2"/>
      <c r="N10" s="2"/>
      <c r="O10" s="2"/>
      <c r="P10" s="2"/>
      <c r="Q10" s="2"/>
      <c r="R10" s="2"/>
      <c r="S10" s="2"/>
      <c r="T10" s="2"/>
      <c r="U10" s="2"/>
      <c r="V10" s="2"/>
      <c r="W10" s="2"/>
      <c r="X10" s="2"/>
      <c r="Y10" s="2"/>
      <c r="Z10" s="2"/>
    </row>
    <row r="11">
      <c r="A11" s="4" t="s">
        <v>903</v>
      </c>
      <c r="B11" s="4" t="s">
        <v>38</v>
      </c>
      <c r="C11" s="4" t="s">
        <v>904</v>
      </c>
      <c r="D11" s="4" t="s">
        <v>905</v>
      </c>
      <c r="E11" s="4" t="s">
        <v>906</v>
      </c>
      <c r="F11" s="10" t="s">
        <v>907</v>
      </c>
      <c r="G11" s="4" t="s">
        <v>869</v>
      </c>
      <c r="H11" s="4"/>
      <c r="I11" s="13" t="s">
        <v>871</v>
      </c>
      <c r="J11" s="2"/>
      <c r="K11" s="2"/>
      <c r="L11" s="2"/>
      <c r="M11" s="2"/>
      <c r="N11" s="2"/>
      <c r="O11" s="2"/>
      <c r="P11" s="2"/>
      <c r="Q11" s="2"/>
      <c r="R11" s="2"/>
      <c r="S11" s="2"/>
      <c r="T11" s="2"/>
      <c r="U11" s="2"/>
      <c r="V11" s="2"/>
      <c r="W11" s="2"/>
      <c r="X11" s="2"/>
      <c r="Y11" s="2"/>
      <c r="Z11" s="2"/>
    </row>
    <row r="12">
      <c r="A12" s="4" t="s">
        <v>908</v>
      </c>
      <c r="B12" s="4" t="s">
        <v>38</v>
      </c>
      <c r="C12" s="4" t="s">
        <v>909</v>
      </c>
      <c r="D12" s="4" t="s">
        <v>910</v>
      </c>
      <c r="E12" s="4" t="s">
        <v>434</v>
      </c>
      <c r="F12" s="10" t="s">
        <v>911</v>
      </c>
      <c r="G12" s="4" t="s">
        <v>869</v>
      </c>
      <c r="H12" s="4" t="s">
        <v>870</v>
      </c>
      <c r="I12" s="13" t="s">
        <v>871</v>
      </c>
      <c r="J12" s="2"/>
      <c r="K12" s="2"/>
      <c r="L12" s="2"/>
      <c r="M12" s="2"/>
      <c r="N12" s="2"/>
      <c r="O12" s="2"/>
      <c r="P12" s="2"/>
      <c r="Q12" s="2"/>
      <c r="R12" s="2"/>
      <c r="S12" s="2"/>
      <c r="T12" s="2"/>
      <c r="U12" s="2"/>
      <c r="V12" s="2"/>
      <c r="W12" s="2"/>
      <c r="X12" s="2"/>
      <c r="Y12" s="2"/>
      <c r="Z12" s="2"/>
    </row>
    <row r="13">
      <c r="A13" s="4" t="s">
        <v>912</v>
      </c>
      <c r="B13" s="4" t="s">
        <v>38</v>
      </c>
      <c r="C13" s="4" t="s">
        <v>913</v>
      </c>
      <c r="D13" s="4" t="s">
        <v>914</v>
      </c>
      <c r="E13" s="4" t="s">
        <v>915</v>
      </c>
      <c r="F13" s="10" t="s">
        <v>916</v>
      </c>
      <c r="G13" s="4" t="s">
        <v>869</v>
      </c>
      <c r="H13" s="4"/>
      <c r="I13" s="13" t="s">
        <v>871</v>
      </c>
      <c r="J13" s="2"/>
      <c r="K13" s="2"/>
      <c r="L13" s="2"/>
      <c r="M13" s="2"/>
      <c r="N13" s="2"/>
      <c r="O13" s="2"/>
      <c r="P13" s="2"/>
      <c r="Q13" s="2"/>
      <c r="R13" s="2"/>
      <c r="S13" s="2"/>
      <c r="T13" s="2"/>
      <c r="U13" s="2"/>
      <c r="V13" s="2"/>
      <c r="W13" s="2"/>
      <c r="X13" s="2"/>
      <c r="Y13" s="2"/>
      <c r="Z13" s="2"/>
    </row>
    <row r="14">
      <c r="A14" s="4" t="s">
        <v>917</v>
      </c>
      <c r="B14" s="4" t="s">
        <v>39</v>
      </c>
      <c r="C14" s="4" t="s">
        <v>918</v>
      </c>
      <c r="D14" s="4" t="s">
        <v>919</v>
      </c>
      <c r="E14" s="4" t="s">
        <v>875</v>
      </c>
      <c r="F14" s="10" t="s">
        <v>920</v>
      </c>
      <c r="G14" s="4" t="s">
        <v>869</v>
      </c>
      <c r="H14" s="4" t="s">
        <v>877</v>
      </c>
      <c r="I14" s="14" t="s">
        <v>871</v>
      </c>
      <c r="J14" s="2"/>
      <c r="K14" s="2"/>
      <c r="L14" s="2"/>
      <c r="M14" s="2"/>
      <c r="N14" s="2"/>
      <c r="O14" s="2"/>
      <c r="P14" s="2"/>
      <c r="Q14" s="2"/>
      <c r="R14" s="2"/>
      <c r="S14" s="2"/>
      <c r="T14" s="2"/>
      <c r="U14" s="2"/>
      <c r="V14" s="2"/>
      <c r="W14" s="2"/>
      <c r="X14" s="2"/>
      <c r="Y14" s="2"/>
      <c r="Z14" s="2"/>
    </row>
    <row r="15">
      <c r="A15" s="4" t="s">
        <v>921</v>
      </c>
      <c r="B15" s="4" t="s">
        <v>39</v>
      </c>
      <c r="C15" s="4" t="s">
        <v>922</v>
      </c>
      <c r="D15" s="4" t="s">
        <v>923</v>
      </c>
      <c r="E15" s="4" t="s">
        <v>924</v>
      </c>
      <c r="F15" s="10" t="s">
        <v>925</v>
      </c>
      <c r="G15" s="4" t="s">
        <v>869</v>
      </c>
      <c r="H15" s="4" t="s">
        <v>877</v>
      </c>
      <c r="I15" s="14" t="s">
        <v>871</v>
      </c>
      <c r="J15" s="2"/>
      <c r="K15" s="2"/>
      <c r="L15" s="2"/>
      <c r="M15" s="2"/>
      <c r="N15" s="2"/>
      <c r="O15" s="2"/>
      <c r="P15" s="2"/>
      <c r="Q15" s="2"/>
      <c r="R15" s="2"/>
      <c r="S15" s="2"/>
      <c r="T15" s="2"/>
      <c r="U15" s="2"/>
      <c r="V15" s="2"/>
      <c r="W15" s="2"/>
      <c r="X15" s="2"/>
      <c r="Y15" s="2"/>
      <c r="Z15" s="2"/>
    </row>
    <row r="16">
      <c r="A16" s="4" t="s">
        <v>926</v>
      </c>
      <c r="B16" s="4" t="s">
        <v>39</v>
      </c>
      <c r="C16" s="4" t="s">
        <v>927</v>
      </c>
      <c r="D16" s="4" t="s">
        <v>928</v>
      </c>
      <c r="E16" s="4" t="s">
        <v>929</v>
      </c>
      <c r="F16" s="10" t="s">
        <v>930</v>
      </c>
      <c r="G16" s="4" t="s">
        <v>869</v>
      </c>
      <c r="H16" s="4" t="s">
        <v>877</v>
      </c>
      <c r="I16" s="14" t="s">
        <v>871</v>
      </c>
      <c r="J16" s="2"/>
      <c r="K16" s="2"/>
      <c r="L16" s="2"/>
      <c r="M16" s="2"/>
      <c r="N16" s="2"/>
      <c r="O16" s="2"/>
      <c r="P16" s="2"/>
      <c r="Q16" s="2"/>
      <c r="R16" s="2"/>
      <c r="S16" s="2"/>
      <c r="T16" s="2"/>
      <c r="U16" s="2"/>
      <c r="V16" s="2"/>
      <c r="W16" s="2"/>
      <c r="X16" s="2"/>
      <c r="Y16" s="2"/>
      <c r="Z16" s="2"/>
    </row>
    <row r="17">
      <c r="A17" s="4" t="s">
        <v>841</v>
      </c>
      <c r="B17" s="4" t="s">
        <v>39</v>
      </c>
      <c r="C17" s="4" t="s">
        <v>842</v>
      </c>
      <c r="D17" s="4" t="s">
        <v>931</v>
      </c>
      <c r="E17" s="4" t="s">
        <v>844</v>
      </c>
      <c r="F17" s="10" t="s">
        <v>932</v>
      </c>
      <c r="G17" s="4" t="s">
        <v>869</v>
      </c>
      <c r="H17" s="4" t="s">
        <v>870</v>
      </c>
      <c r="I17" s="13" t="s">
        <v>889</v>
      </c>
      <c r="J17" s="2"/>
      <c r="K17" s="2"/>
      <c r="L17" s="2"/>
      <c r="M17" s="2"/>
      <c r="N17" s="2"/>
      <c r="O17" s="2"/>
      <c r="P17" s="2"/>
      <c r="Q17" s="2"/>
      <c r="R17" s="2"/>
      <c r="S17" s="2"/>
      <c r="T17" s="2"/>
      <c r="U17" s="2"/>
      <c r="V17" s="2"/>
      <c r="W17" s="2"/>
      <c r="X17" s="2"/>
      <c r="Y17" s="2"/>
      <c r="Z17" s="2"/>
    </row>
    <row r="18">
      <c r="A18" s="4" t="s">
        <v>933</v>
      </c>
      <c r="B18" s="4" t="s">
        <v>39</v>
      </c>
      <c r="C18" s="4" t="s">
        <v>934</v>
      </c>
      <c r="D18" s="4" t="s">
        <v>935</v>
      </c>
      <c r="E18" s="4" t="s">
        <v>936</v>
      </c>
      <c r="F18" s="10" t="s">
        <v>937</v>
      </c>
      <c r="G18" s="4" t="s">
        <v>869</v>
      </c>
      <c r="H18" s="4"/>
      <c r="I18" s="14" t="s">
        <v>871</v>
      </c>
      <c r="J18" s="2"/>
      <c r="K18" s="2"/>
      <c r="L18" s="2"/>
      <c r="M18" s="2"/>
      <c r="N18" s="2"/>
      <c r="O18" s="2"/>
      <c r="P18" s="2"/>
      <c r="Q18" s="2"/>
      <c r="R18" s="2"/>
      <c r="S18" s="2"/>
      <c r="T18" s="2"/>
      <c r="U18" s="2"/>
      <c r="V18" s="2"/>
      <c r="W18" s="2"/>
      <c r="X18" s="2"/>
      <c r="Y18" s="2"/>
      <c r="Z18" s="2"/>
    </row>
    <row r="19">
      <c r="A19" s="4" t="s">
        <v>938</v>
      </c>
      <c r="B19" s="4" t="s">
        <v>39</v>
      </c>
      <c r="C19" s="4" t="s">
        <v>939</v>
      </c>
      <c r="D19" s="4" t="s">
        <v>940</v>
      </c>
      <c r="E19" s="4" t="s">
        <v>434</v>
      </c>
      <c r="F19" s="10" t="s">
        <v>941</v>
      </c>
      <c r="G19" s="4" t="s">
        <v>869</v>
      </c>
      <c r="H19" s="4" t="s">
        <v>887</v>
      </c>
      <c r="I19" s="14" t="s">
        <v>871</v>
      </c>
      <c r="J19" s="2"/>
      <c r="K19" s="2"/>
      <c r="L19" s="2"/>
      <c r="M19" s="2"/>
      <c r="N19" s="2"/>
      <c r="O19" s="2"/>
      <c r="P19" s="2"/>
      <c r="Q19" s="2"/>
      <c r="R19" s="2"/>
      <c r="S19" s="2"/>
      <c r="T19" s="2"/>
      <c r="U19" s="2"/>
      <c r="V19" s="2"/>
      <c r="W19" s="2"/>
      <c r="X19" s="2"/>
      <c r="Y19" s="2"/>
      <c r="Z19" s="2"/>
    </row>
    <row r="20">
      <c r="A20" s="4" t="s">
        <v>848</v>
      </c>
      <c r="B20" s="4" t="s">
        <v>39</v>
      </c>
      <c r="C20" s="4" t="s">
        <v>849</v>
      </c>
      <c r="D20" s="4" t="s">
        <v>942</v>
      </c>
      <c r="E20" s="4" t="s">
        <v>851</v>
      </c>
      <c r="F20" s="10" t="s">
        <v>943</v>
      </c>
      <c r="G20" s="4" t="s">
        <v>869</v>
      </c>
      <c r="H20" s="4" t="s">
        <v>888</v>
      </c>
      <c r="I20" s="13" t="s">
        <v>889</v>
      </c>
      <c r="J20" s="2"/>
      <c r="K20" s="2"/>
      <c r="L20" s="2"/>
      <c r="M20" s="2"/>
      <c r="N20" s="2"/>
      <c r="O20" s="2"/>
      <c r="P20" s="2"/>
      <c r="Q20" s="2"/>
      <c r="R20" s="2"/>
      <c r="S20" s="2"/>
      <c r="T20" s="2"/>
      <c r="U20" s="2"/>
      <c r="V20" s="2"/>
      <c r="W20" s="2"/>
      <c r="X20" s="2"/>
      <c r="Y20" s="2"/>
      <c r="Z20" s="2"/>
    </row>
    <row r="21" ht="15.75" customHeight="1">
      <c r="A21" s="4" t="s">
        <v>944</v>
      </c>
      <c r="B21" s="4" t="s">
        <v>39</v>
      </c>
      <c r="C21" s="4" t="s">
        <v>945</v>
      </c>
      <c r="D21" s="4" t="s">
        <v>946</v>
      </c>
      <c r="E21" s="4" t="s">
        <v>434</v>
      </c>
      <c r="F21" s="10" t="s">
        <v>941</v>
      </c>
      <c r="G21" s="4" t="s">
        <v>869</v>
      </c>
      <c r="H21" s="4" t="s">
        <v>887</v>
      </c>
      <c r="I21" s="14" t="s">
        <v>871</v>
      </c>
      <c r="J21" s="2"/>
      <c r="K21" s="2"/>
      <c r="L21" s="2"/>
      <c r="M21" s="2"/>
      <c r="N21" s="2"/>
      <c r="O21" s="2"/>
      <c r="P21" s="2"/>
      <c r="Q21" s="2"/>
      <c r="R21" s="2"/>
      <c r="S21" s="2"/>
      <c r="T21" s="2"/>
      <c r="U21" s="2"/>
      <c r="V21" s="2"/>
      <c r="W21" s="2"/>
      <c r="X21" s="2"/>
      <c r="Y21" s="2"/>
      <c r="Z21" s="2"/>
    </row>
    <row r="22" ht="15.75" customHeight="1">
      <c r="A22" s="4" t="s">
        <v>947</v>
      </c>
      <c r="B22" s="4" t="s">
        <v>39</v>
      </c>
      <c r="C22" s="4" t="s">
        <v>948</v>
      </c>
      <c r="D22" s="4" t="s">
        <v>949</v>
      </c>
      <c r="E22" s="4" t="s">
        <v>950</v>
      </c>
      <c r="F22" s="10" t="s">
        <v>951</v>
      </c>
      <c r="G22" s="4" t="s">
        <v>869</v>
      </c>
      <c r="H22" s="4" t="s">
        <v>888</v>
      </c>
      <c r="I22" s="14" t="s">
        <v>871</v>
      </c>
      <c r="J22" s="2"/>
      <c r="K22" s="2"/>
      <c r="L22" s="2"/>
      <c r="M22" s="2"/>
      <c r="N22" s="2"/>
      <c r="O22" s="2"/>
      <c r="P22" s="2"/>
      <c r="Q22" s="2"/>
      <c r="R22" s="2"/>
      <c r="S22" s="2"/>
      <c r="T22" s="2"/>
      <c r="U22" s="2"/>
      <c r="V22" s="2"/>
      <c r="W22" s="2"/>
      <c r="X22" s="2"/>
      <c r="Y22" s="2"/>
      <c r="Z22" s="2"/>
    </row>
    <row r="23" ht="15.75" customHeight="1">
      <c r="A23" s="4" t="s">
        <v>952</v>
      </c>
      <c r="B23" s="4" t="s">
        <v>39</v>
      </c>
      <c r="C23" s="4" t="s">
        <v>953</v>
      </c>
      <c r="D23" s="4" t="s">
        <v>954</v>
      </c>
      <c r="E23" s="4" t="s">
        <v>955</v>
      </c>
      <c r="F23" s="10" t="s">
        <v>956</v>
      </c>
      <c r="G23" s="4" t="s">
        <v>869</v>
      </c>
      <c r="H23" s="4"/>
      <c r="I23" s="14" t="s">
        <v>871</v>
      </c>
      <c r="J23" s="2"/>
      <c r="K23" s="2"/>
      <c r="L23" s="2"/>
      <c r="M23" s="2"/>
      <c r="N23" s="2"/>
      <c r="O23" s="2"/>
      <c r="P23" s="2"/>
      <c r="Q23" s="2"/>
      <c r="R23" s="2"/>
      <c r="S23" s="2"/>
      <c r="T23" s="2"/>
      <c r="U23" s="2"/>
      <c r="V23" s="2"/>
      <c r="W23" s="2"/>
      <c r="X23" s="2"/>
      <c r="Y23" s="2"/>
      <c r="Z23" s="2"/>
    </row>
    <row r="24" ht="15.75" customHeight="1">
      <c r="A24" s="4" t="s">
        <v>957</v>
      </c>
      <c r="B24" s="4" t="s">
        <v>39</v>
      </c>
      <c r="C24" s="4" t="s">
        <v>958</v>
      </c>
      <c r="D24" s="4" t="s">
        <v>959</v>
      </c>
      <c r="E24" s="4" t="s">
        <v>434</v>
      </c>
      <c r="F24" s="10" t="s">
        <v>960</v>
      </c>
      <c r="G24" s="4" t="s">
        <v>869</v>
      </c>
      <c r="H24" s="4" t="s">
        <v>870</v>
      </c>
      <c r="I24" s="14" t="s">
        <v>871</v>
      </c>
      <c r="J24" s="2"/>
      <c r="K24" s="2"/>
      <c r="L24" s="2"/>
      <c r="M24" s="2"/>
      <c r="N24" s="2"/>
      <c r="O24" s="2"/>
      <c r="P24" s="2"/>
      <c r="Q24" s="2"/>
      <c r="R24" s="2"/>
      <c r="S24" s="2"/>
      <c r="T24" s="2"/>
      <c r="U24" s="2"/>
      <c r="V24" s="2"/>
      <c r="W24" s="2"/>
      <c r="X24" s="2"/>
      <c r="Y24" s="2"/>
      <c r="Z24" s="2"/>
    </row>
    <row r="25" ht="15.75" customHeight="1">
      <c r="A25" s="4" t="s">
        <v>855</v>
      </c>
      <c r="B25" s="4" t="s">
        <v>39</v>
      </c>
      <c r="C25" s="4" t="s">
        <v>856</v>
      </c>
      <c r="D25" s="4" t="s">
        <v>961</v>
      </c>
      <c r="E25" s="4" t="s">
        <v>858</v>
      </c>
      <c r="F25" s="10" t="s">
        <v>962</v>
      </c>
      <c r="G25" s="4" t="s">
        <v>869</v>
      </c>
      <c r="H25" s="4" t="s">
        <v>888</v>
      </c>
      <c r="I25" s="13" t="s">
        <v>889</v>
      </c>
      <c r="J25" s="2"/>
      <c r="K25" s="2"/>
      <c r="L25" s="2"/>
      <c r="M25" s="2"/>
      <c r="N25" s="2"/>
      <c r="O25" s="2"/>
      <c r="P25" s="2"/>
      <c r="Q25" s="2"/>
      <c r="R25" s="2"/>
      <c r="S25" s="2"/>
      <c r="T25" s="2"/>
      <c r="U25" s="2"/>
      <c r="V25" s="2"/>
      <c r="W25" s="2"/>
      <c r="X25" s="2"/>
      <c r="Y25" s="2"/>
      <c r="Z25" s="2"/>
    </row>
    <row r="26" ht="15.75" customHeight="1">
      <c r="A26" s="4" t="s">
        <v>963</v>
      </c>
      <c r="B26" s="4" t="s">
        <v>39</v>
      </c>
      <c r="C26" s="4" t="s">
        <v>964</v>
      </c>
      <c r="D26" s="4" t="s">
        <v>965</v>
      </c>
      <c r="E26" s="4" t="s">
        <v>966</v>
      </c>
      <c r="F26" s="10" t="s">
        <v>967</v>
      </c>
      <c r="G26" s="4" t="s">
        <v>869</v>
      </c>
      <c r="H26" s="4" t="s">
        <v>877</v>
      </c>
      <c r="I26" s="14" t="s">
        <v>871</v>
      </c>
      <c r="J26" s="2"/>
      <c r="K26" s="2"/>
      <c r="L26" s="2"/>
      <c r="M26" s="2"/>
      <c r="N26" s="2"/>
      <c r="O26" s="2"/>
      <c r="P26" s="2"/>
      <c r="Q26" s="2"/>
      <c r="R26" s="2"/>
      <c r="S26" s="2"/>
      <c r="T26" s="2"/>
      <c r="U26" s="2"/>
      <c r="V26" s="2"/>
      <c r="W26" s="2"/>
      <c r="X26" s="2"/>
      <c r="Y26" s="2"/>
      <c r="Z26" s="2"/>
    </row>
    <row r="27" ht="15.75" customHeight="1">
      <c r="A27" s="4" t="s">
        <v>968</v>
      </c>
      <c r="B27" s="4" t="s">
        <v>39</v>
      </c>
      <c r="C27" s="4" t="s">
        <v>969</v>
      </c>
      <c r="D27" s="4" t="s">
        <v>970</v>
      </c>
      <c r="E27" s="4" t="s">
        <v>971</v>
      </c>
      <c r="F27" s="10" t="s">
        <v>972</v>
      </c>
      <c r="G27" s="4" t="s">
        <v>869</v>
      </c>
      <c r="H27" s="4" t="s">
        <v>888</v>
      </c>
      <c r="I27" s="14" t="s">
        <v>871</v>
      </c>
      <c r="J27" s="2"/>
      <c r="K27" s="2"/>
      <c r="L27" s="2"/>
      <c r="M27" s="2"/>
      <c r="N27" s="2"/>
      <c r="O27" s="2"/>
      <c r="P27" s="2"/>
      <c r="Q27" s="2"/>
      <c r="R27" s="2"/>
      <c r="S27" s="2"/>
      <c r="T27" s="2"/>
      <c r="U27" s="2"/>
      <c r="V27" s="2"/>
      <c r="W27" s="2"/>
      <c r="X27" s="2"/>
      <c r="Y27" s="2"/>
      <c r="Z27" s="2"/>
    </row>
    <row r="28" ht="15.75" customHeight="1">
      <c r="A28" s="4" t="s">
        <v>973</v>
      </c>
      <c r="B28" s="4" t="s">
        <v>39</v>
      </c>
      <c r="C28" s="4" t="s">
        <v>974</v>
      </c>
      <c r="D28" s="4" t="s">
        <v>975</v>
      </c>
      <c r="E28" s="4" t="s">
        <v>976</v>
      </c>
      <c r="F28" s="10" t="s">
        <v>977</v>
      </c>
      <c r="G28" s="4" t="s">
        <v>869</v>
      </c>
      <c r="H28" s="4"/>
      <c r="I28" s="14" t="s">
        <v>871</v>
      </c>
      <c r="J28" s="2"/>
      <c r="K28" s="2"/>
      <c r="L28" s="2"/>
      <c r="M28" s="2"/>
      <c r="N28" s="2"/>
      <c r="O28" s="2"/>
      <c r="P28" s="2"/>
      <c r="Q28" s="2"/>
      <c r="R28" s="2"/>
      <c r="S28" s="2"/>
      <c r="T28" s="2"/>
      <c r="U28" s="2"/>
      <c r="V28" s="2"/>
      <c r="W28" s="2"/>
      <c r="X28" s="2"/>
      <c r="Y28" s="2"/>
      <c r="Z28" s="2"/>
    </row>
    <row r="29" ht="15.75" customHeight="1">
      <c r="A29" s="4" t="s">
        <v>978</v>
      </c>
      <c r="B29" s="4" t="s">
        <v>39</v>
      </c>
      <c r="C29" s="4" t="s">
        <v>979</v>
      </c>
      <c r="D29" s="4" t="s">
        <v>980</v>
      </c>
      <c r="E29" s="4" t="s">
        <v>981</v>
      </c>
      <c r="F29" s="10" t="s">
        <v>982</v>
      </c>
      <c r="G29" s="4" t="s">
        <v>869</v>
      </c>
      <c r="H29" s="4"/>
      <c r="I29" s="14" t="s">
        <v>871</v>
      </c>
      <c r="J29" s="2"/>
      <c r="K29" s="2"/>
      <c r="L29" s="2"/>
      <c r="M29" s="2"/>
      <c r="N29" s="2"/>
      <c r="O29" s="2"/>
      <c r="P29" s="2"/>
      <c r="Q29" s="2"/>
      <c r="R29" s="2"/>
      <c r="S29" s="2"/>
      <c r="T29" s="2"/>
      <c r="U29" s="2"/>
      <c r="V29" s="2"/>
      <c r="W29" s="2"/>
      <c r="X29" s="2"/>
      <c r="Y29" s="2"/>
      <c r="Z29" s="2"/>
    </row>
    <row r="30" ht="15.75" customHeight="1">
      <c r="A30" s="4" t="s">
        <v>983</v>
      </c>
      <c r="B30" s="4" t="s">
        <v>40</v>
      </c>
      <c r="C30" s="4" t="s">
        <v>984</v>
      </c>
      <c r="D30" s="4" t="s">
        <v>985</v>
      </c>
      <c r="E30" s="4" t="s">
        <v>158</v>
      </c>
      <c r="F30" s="10" t="s">
        <v>986</v>
      </c>
      <c r="G30" s="4" t="s">
        <v>869</v>
      </c>
      <c r="H30" s="4" t="s">
        <v>987</v>
      </c>
      <c r="I30" s="14" t="s">
        <v>871</v>
      </c>
      <c r="J30" s="2"/>
      <c r="K30" s="2"/>
      <c r="L30" s="2"/>
      <c r="M30" s="2"/>
      <c r="N30" s="2"/>
      <c r="O30" s="2"/>
      <c r="P30" s="2"/>
      <c r="Q30" s="2"/>
      <c r="R30" s="2"/>
      <c r="S30" s="2"/>
      <c r="T30" s="2"/>
      <c r="U30" s="2"/>
      <c r="V30" s="2"/>
      <c r="W30" s="2"/>
      <c r="X30" s="2"/>
      <c r="Y30" s="2"/>
      <c r="Z30" s="2"/>
    </row>
    <row r="31" ht="15.75" customHeight="1">
      <c r="A31" s="4" t="s">
        <v>988</v>
      </c>
      <c r="B31" s="4" t="s">
        <v>40</v>
      </c>
      <c r="C31" s="4" t="s">
        <v>989</v>
      </c>
      <c r="D31" s="4" t="s">
        <v>990</v>
      </c>
      <c r="E31" s="4" t="s">
        <v>991</v>
      </c>
      <c r="F31" s="10" t="s">
        <v>992</v>
      </c>
      <c r="G31" s="4" t="s">
        <v>869</v>
      </c>
      <c r="H31" s="4" t="s">
        <v>877</v>
      </c>
      <c r="I31" s="14" t="s">
        <v>871</v>
      </c>
      <c r="J31" s="2"/>
      <c r="K31" s="2"/>
      <c r="L31" s="2"/>
      <c r="M31" s="2"/>
      <c r="N31" s="2"/>
      <c r="O31" s="2"/>
      <c r="P31" s="2"/>
      <c r="Q31" s="2"/>
      <c r="R31" s="2"/>
      <c r="S31" s="2"/>
      <c r="T31" s="2"/>
      <c r="U31" s="2"/>
      <c r="V31" s="2"/>
      <c r="W31" s="2"/>
      <c r="X31" s="2"/>
      <c r="Y31" s="2"/>
      <c r="Z31" s="2"/>
    </row>
    <row r="32" ht="15.75" customHeight="1">
      <c r="A32" s="4" t="s">
        <v>993</v>
      </c>
      <c r="B32" s="4" t="s">
        <v>40</v>
      </c>
      <c r="C32" s="4" t="s">
        <v>994</v>
      </c>
      <c r="D32" s="4" t="s">
        <v>995</v>
      </c>
      <c r="E32" s="4" t="s">
        <v>996</v>
      </c>
      <c r="F32" s="10" t="s">
        <v>997</v>
      </c>
      <c r="G32" s="4" t="s">
        <v>869</v>
      </c>
      <c r="H32" s="4" t="s">
        <v>877</v>
      </c>
      <c r="I32" s="14" t="s">
        <v>871</v>
      </c>
      <c r="J32" s="2"/>
      <c r="K32" s="2"/>
      <c r="L32" s="2"/>
      <c r="M32" s="2"/>
      <c r="N32" s="2"/>
      <c r="O32" s="2"/>
      <c r="P32" s="2"/>
      <c r="Q32" s="2"/>
      <c r="R32" s="2"/>
      <c r="S32" s="2"/>
      <c r="T32" s="2"/>
      <c r="U32" s="2"/>
      <c r="V32" s="2"/>
      <c r="W32" s="2"/>
      <c r="X32" s="2"/>
      <c r="Y32" s="2"/>
      <c r="Z32" s="2"/>
    </row>
    <row r="33" ht="15.75" customHeight="1">
      <c r="A33" s="4" t="s">
        <v>998</v>
      </c>
      <c r="B33" s="4" t="s">
        <v>40</v>
      </c>
      <c r="C33" s="4" t="s">
        <v>999</v>
      </c>
      <c r="D33" s="4" t="s">
        <v>1000</v>
      </c>
      <c r="E33" s="4" t="s">
        <v>1001</v>
      </c>
      <c r="F33" s="10" t="s">
        <v>1002</v>
      </c>
      <c r="G33" s="4" t="s">
        <v>869</v>
      </c>
      <c r="H33" s="4" t="s">
        <v>877</v>
      </c>
      <c r="I33" s="14" t="s">
        <v>871</v>
      </c>
      <c r="J33" s="2"/>
      <c r="K33" s="2"/>
      <c r="L33" s="2"/>
      <c r="M33" s="2"/>
      <c r="N33" s="2"/>
      <c r="O33" s="2"/>
      <c r="P33" s="2"/>
      <c r="Q33" s="2"/>
      <c r="R33" s="2"/>
      <c r="S33" s="2"/>
      <c r="T33" s="2"/>
      <c r="U33" s="2"/>
      <c r="V33" s="2"/>
      <c r="W33" s="2"/>
      <c r="X33" s="2"/>
      <c r="Y33" s="2"/>
      <c r="Z33" s="2"/>
    </row>
    <row r="34" ht="15.75" customHeight="1">
      <c r="A34" s="4" t="s">
        <v>1003</v>
      </c>
      <c r="B34" s="4" t="s">
        <v>40</v>
      </c>
      <c r="C34" s="4" t="s">
        <v>923</v>
      </c>
      <c r="D34" s="4" t="s">
        <v>1004</v>
      </c>
      <c r="E34" s="4" t="s">
        <v>158</v>
      </c>
      <c r="F34" s="10" t="s">
        <v>1005</v>
      </c>
      <c r="G34" s="4" t="s">
        <v>869</v>
      </c>
      <c r="H34" s="4" t="s">
        <v>987</v>
      </c>
      <c r="I34" s="14" t="s">
        <v>871</v>
      </c>
      <c r="J34" s="2"/>
      <c r="K34" s="2"/>
      <c r="L34" s="2"/>
      <c r="M34" s="2"/>
      <c r="N34" s="2"/>
      <c r="O34" s="2"/>
      <c r="P34" s="2"/>
      <c r="Q34" s="2"/>
      <c r="R34" s="2"/>
      <c r="S34" s="2"/>
      <c r="T34" s="2"/>
      <c r="U34" s="2"/>
      <c r="V34" s="2"/>
      <c r="W34" s="2"/>
      <c r="X34" s="2"/>
      <c r="Y34" s="2"/>
      <c r="Z34" s="2"/>
    </row>
    <row r="35" ht="15.75" customHeight="1">
      <c r="A35" s="4" t="s">
        <v>1006</v>
      </c>
      <c r="B35" s="4" t="s">
        <v>40</v>
      </c>
      <c r="C35" s="4" t="s">
        <v>1007</v>
      </c>
      <c r="D35" s="4" t="s">
        <v>1008</v>
      </c>
      <c r="E35" s="4" t="s">
        <v>1009</v>
      </c>
      <c r="F35" s="10" t="s">
        <v>1010</v>
      </c>
      <c r="G35" s="4" t="s">
        <v>869</v>
      </c>
      <c r="H35" s="4" t="s">
        <v>877</v>
      </c>
      <c r="I35" s="14" t="s">
        <v>871</v>
      </c>
      <c r="J35" s="2"/>
      <c r="K35" s="2"/>
      <c r="L35" s="2"/>
      <c r="M35" s="2"/>
      <c r="N35" s="2"/>
      <c r="O35" s="2"/>
      <c r="P35" s="2"/>
      <c r="Q35" s="2"/>
      <c r="R35" s="2"/>
      <c r="S35" s="2"/>
      <c r="T35" s="2"/>
      <c r="U35" s="2"/>
      <c r="V35" s="2"/>
      <c r="W35" s="2"/>
      <c r="X35" s="2"/>
      <c r="Y35" s="2"/>
      <c r="Z35" s="2"/>
    </row>
    <row r="36" ht="15.75" customHeight="1">
      <c r="A36" s="4" t="s">
        <v>1011</v>
      </c>
      <c r="B36" s="4" t="s">
        <v>40</v>
      </c>
      <c r="C36" s="4" t="s">
        <v>267</v>
      </c>
      <c r="D36" s="4" t="s">
        <v>1012</v>
      </c>
      <c r="E36" s="4" t="s">
        <v>1013</v>
      </c>
      <c r="F36" s="10" t="s">
        <v>1014</v>
      </c>
      <c r="G36" s="4" t="s">
        <v>869</v>
      </c>
      <c r="H36" s="4"/>
      <c r="I36" s="14" t="s">
        <v>871</v>
      </c>
      <c r="J36" s="2"/>
      <c r="K36" s="2"/>
      <c r="L36" s="2"/>
      <c r="M36" s="2"/>
      <c r="N36" s="2"/>
      <c r="O36" s="2"/>
      <c r="P36" s="2"/>
      <c r="Q36" s="2"/>
      <c r="R36" s="2"/>
      <c r="S36" s="2"/>
      <c r="T36" s="2"/>
      <c r="U36" s="2"/>
      <c r="V36" s="2"/>
      <c r="W36" s="2"/>
      <c r="X36" s="2"/>
      <c r="Y36" s="2"/>
      <c r="Z36" s="2"/>
    </row>
    <row r="37" ht="15.75" customHeight="1">
      <c r="A37" s="4" t="s">
        <v>1015</v>
      </c>
      <c r="B37" s="4" t="s">
        <v>40</v>
      </c>
      <c r="C37" s="4" t="s">
        <v>1016</v>
      </c>
      <c r="D37" s="4" t="s">
        <v>1017</v>
      </c>
      <c r="E37" s="4" t="s">
        <v>158</v>
      </c>
      <c r="F37" s="10" t="s">
        <v>1018</v>
      </c>
      <c r="G37" s="4" t="s">
        <v>869</v>
      </c>
      <c r="H37" s="4" t="s">
        <v>987</v>
      </c>
      <c r="I37" s="14" t="s">
        <v>871</v>
      </c>
      <c r="J37" s="2"/>
      <c r="K37" s="2"/>
      <c r="L37" s="2"/>
      <c r="M37" s="2"/>
      <c r="N37" s="2"/>
      <c r="O37" s="2"/>
      <c r="P37" s="2"/>
      <c r="Q37" s="2"/>
      <c r="R37" s="2"/>
      <c r="S37" s="2"/>
      <c r="T37" s="2"/>
      <c r="U37" s="2"/>
      <c r="V37" s="2"/>
      <c r="W37" s="2"/>
      <c r="X37" s="2"/>
      <c r="Y37" s="2"/>
      <c r="Z37" s="2"/>
    </row>
    <row r="38" ht="15.75" customHeight="1">
      <c r="A38" s="4" t="s">
        <v>1019</v>
      </c>
      <c r="B38" s="4" t="s">
        <v>40</v>
      </c>
      <c r="C38" s="4" t="s">
        <v>1020</v>
      </c>
      <c r="D38" s="4" t="s">
        <v>1021</v>
      </c>
      <c r="E38" s="4" t="s">
        <v>1022</v>
      </c>
      <c r="F38" s="10" t="s">
        <v>1023</v>
      </c>
      <c r="G38" s="4" t="s">
        <v>869</v>
      </c>
      <c r="H38" s="4"/>
      <c r="I38" s="14" t="s">
        <v>871</v>
      </c>
      <c r="J38" s="2"/>
      <c r="K38" s="2"/>
      <c r="L38" s="2"/>
      <c r="M38" s="2"/>
      <c r="N38" s="2"/>
      <c r="O38" s="2"/>
      <c r="P38" s="2"/>
      <c r="Q38" s="2"/>
      <c r="R38" s="2"/>
      <c r="S38" s="2"/>
      <c r="T38" s="2"/>
      <c r="U38" s="2"/>
      <c r="V38" s="2"/>
      <c r="W38" s="2"/>
      <c r="X38" s="2"/>
      <c r="Y38" s="2"/>
      <c r="Z38" s="2"/>
    </row>
    <row r="39" ht="15.75" customHeight="1">
      <c r="A39" s="4" t="s">
        <v>1024</v>
      </c>
      <c r="B39" s="4" t="s">
        <v>40</v>
      </c>
      <c r="C39" s="4" t="s">
        <v>1025</v>
      </c>
      <c r="D39" s="4" t="s">
        <v>1026</v>
      </c>
      <c r="E39" s="4" t="s">
        <v>158</v>
      </c>
      <c r="F39" s="10" t="s">
        <v>1027</v>
      </c>
      <c r="G39" s="4" t="s">
        <v>869</v>
      </c>
      <c r="H39" s="4" t="s">
        <v>1028</v>
      </c>
      <c r="I39" s="14" t="s">
        <v>871</v>
      </c>
      <c r="J39" s="2"/>
      <c r="K39" s="2"/>
      <c r="L39" s="2"/>
      <c r="M39" s="2"/>
      <c r="N39" s="2"/>
      <c r="O39" s="2"/>
      <c r="P39" s="2"/>
      <c r="Q39" s="2"/>
      <c r="R39" s="2"/>
      <c r="S39" s="2"/>
      <c r="T39" s="2"/>
      <c r="U39" s="2"/>
      <c r="V39" s="2"/>
      <c r="W39" s="2"/>
      <c r="X39" s="2"/>
      <c r="Y39" s="2"/>
      <c r="Z39" s="2"/>
    </row>
    <row r="40" ht="15.75" customHeight="1">
      <c r="A40" s="4" t="s">
        <v>1029</v>
      </c>
      <c r="B40" s="4" t="s">
        <v>40</v>
      </c>
      <c r="C40" s="4" t="s">
        <v>1030</v>
      </c>
      <c r="D40" s="4" t="s">
        <v>1031</v>
      </c>
      <c r="E40" s="4" t="s">
        <v>158</v>
      </c>
      <c r="F40" s="10" t="s">
        <v>1032</v>
      </c>
      <c r="G40" s="4" t="s">
        <v>869</v>
      </c>
      <c r="H40" s="4" t="s">
        <v>1028</v>
      </c>
      <c r="I40" s="14" t="s">
        <v>871</v>
      </c>
      <c r="J40" s="2"/>
      <c r="K40" s="2"/>
      <c r="L40" s="2"/>
      <c r="M40" s="2"/>
      <c r="N40" s="2"/>
      <c r="O40" s="2"/>
      <c r="P40" s="2"/>
      <c r="Q40" s="2"/>
      <c r="R40" s="2"/>
      <c r="S40" s="2"/>
      <c r="T40" s="2"/>
      <c r="U40" s="2"/>
      <c r="V40" s="2"/>
      <c r="W40" s="2"/>
      <c r="X40" s="2"/>
      <c r="Y40" s="2"/>
      <c r="Z40" s="2"/>
    </row>
    <row r="41" ht="15.75" customHeight="1">
      <c r="A41" s="4" t="s">
        <v>1033</v>
      </c>
      <c r="B41" s="4" t="s">
        <v>40</v>
      </c>
      <c r="C41" s="4" t="s">
        <v>755</v>
      </c>
      <c r="D41" s="4" t="s">
        <v>1034</v>
      </c>
      <c r="E41" s="4" t="s">
        <v>158</v>
      </c>
      <c r="F41" s="10" t="s">
        <v>1035</v>
      </c>
      <c r="G41" s="4" t="s">
        <v>869</v>
      </c>
      <c r="H41" s="4" t="s">
        <v>987</v>
      </c>
      <c r="I41" s="14" t="s">
        <v>871</v>
      </c>
      <c r="J41" s="2"/>
      <c r="K41" s="2"/>
      <c r="L41" s="2"/>
      <c r="M41" s="2"/>
      <c r="N41" s="2"/>
      <c r="O41" s="2"/>
      <c r="P41" s="2"/>
      <c r="Q41" s="2"/>
      <c r="R41" s="2"/>
      <c r="S41" s="2"/>
      <c r="T41" s="2"/>
      <c r="U41" s="2"/>
      <c r="V41" s="2"/>
      <c r="W41" s="2"/>
      <c r="X41" s="2"/>
      <c r="Y41" s="2"/>
      <c r="Z41" s="2"/>
    </row>
    <row r="42" ht="15.75" customHeight="1">
      <c r="A42" s="4" t="s">
        <v>1036</v>
      </c>
      <c r="B42" s="4" t="s">
        <v>41</v>
      </c>
      <c r="C42" s="4" t="s">
        <v>533</v>
      </c>
      <c r="D42" s="4" t="s">
        <v>1037</v>
      </c>
      <c r="E42" s="4" t="s">
        <v>1038</v>
      </c>
      <c r="F42" s="10" t="s">
        <v>1039</v>
      </c>
      <c r="G42" s="4" t="s">
        <v>869</v>
      </c>
      <c r="H42" s="4" t="s">
        <v>1040</v>
      </c>
      <c r="I42" s="14" t="s">
        <v>871</v>
      </c>
      <c r="J42" s="2"/>
      <c r="K42" s="2"/>
      <c r="L42" s="2"/>
      <c r="M42" s="2"/>
      <c r="N42" s="2"/>
      <c r="O42" s="2"/>
      <c r="P42" s="2"/>
      <c r="Q42" s="2"/>
      <c r="R42" s="2"/>
      <c r="S42" s="2"/>
      <c r="T42" s="2"/>
      <c r="U42" s="2"/>
      <c r="V42" s="2"/>
      <c r="W42" s="2"/>
      <c r="X42" s="2"/>
      <c r="Y42" s="2"/>
      <c r="Z42" s="2"/>
    </row>
    <row r="43" ht="15.75" customHeight="1">
      <c r="A43" s="4" t="s">
        <v>1041</v>
      </c>
      <c r="B43" s="4" t="s">
        <v>41</v>
      </c>
      <c r="C43" s="4" t="s">
        <v>1042</v>
      </c>
      <c r="D43" s="4" t="s">
        <v>1043</v>
      </c>
      <c r="E43" s="4" t="s">
        <v>158</v>
      </c>
      <c r="F43" s="10" t="s">
        <v>1044</v>
      </c>
      <c r="G43" s="4" t="s">
        <v>869</v>
      </c>
      <c r="H43" s="4" t="s">
        <v>987</v>
      </c>
      <c r="I43" s="14" t="s">
        <v>871</v>
      </c>
      <c r="J43" s="2"/>
      <c r="K43" s="2"/>
      <c r="L43" s="2"/>
      <c r="M43" s="2"/>
      <c r="N43" s="2"/>
      <c r="O43" s="2"/>
      <c r="P43" s="2"/>
      <c r="Q43" s="2"/>
      <c r="R43" s="2"/>
      <c r="S43" s="2"/>
      <c r="T43" s="2"/>
      <c r="U43" s="2"/>
      <c r="V43" s="2"/>
      <c r="W43" s="2"/>
      <c r="X43" s="2"/>
      <c r="Y43" s="2"/>
      <c r="Z43" s="2"/>
    </row>
    <row r="44" ht="15.75" customHeight="1">
      <c r="A44" s="4" t="s">
        <v>1045</v>
      </c>
      <c r="B44" s="4" t="s">
        <v>41</v>
      </c>
      <c r="C44" s="4" t="s">
        <v>1046</v>
      </c>
      <c r="D44" s="4" t="s">
        <v>1047</v>
      </c>
      <c r="E44" s="4" t="s">
        <v>991</v>
      </c>
      <c r="F44" s="10" t="s">
        <v>992</v>
      </c>
      <c r="G44" s="4" t="s">
        <v>869</v>
      </c>
      <c r="H44" s="4" t="s">
        <v>877</v>
      </c>
      <c r="I44" s="14" t="s">
        <v>871</v>
      </c>
      <c r="J44" s="2"/>
      <c r="K44" s="2"/>
      <c r="L44" s="2"/>
      <c r="M44" s="2"/>
      <c r="N44" s="2"/>
      <c r="O44" s="2"/>
      <c r="P44" s="2"/>
      <c r="Q44" s="2"/>
      <c r="R44" s="2"/>
      <c r="S44" s="2"/>
      <c r="T44" s="2"/>
      <c r="U44" s="2"/>
      <c r="V44" s="2"/>
      <c r="W44" s="2"/>
      <c r="X44" s="2"/>
      <c r="Y44" s="2"/>
      <c r="Z44" s="2"/>
    </row>
    <row r="45" ht="15.75" customHeight="1">
      <c r="A45" s="4" t="s">
        <v>1048</v>
      </c>
      <c r="B45" s="4" t="s">
        <v>41</v>
      </c>
      <c r="C45" s="4" t="s">
        <v>228</v>
      </c>
      <c r="D45" s="4" t="s">
        <v>1049</v>
      </c>
      <c r="E45" s="4" t="s">
        <v>996</v>
      </c>
      <c r="F45" s="10" t="s">
        <v>997</v>
      </c>
      <c r="G45" s="4" t="s">
        <v>869</v>
      </c>
      <c r="H45" s="4" t="s">
        <v>877</v>
      </c>
      <c r="I45" s="14" t="s">
        <v>871</v>
      </c>
      <c r="J45" s="2"/>
      <c r="K45" s="2"/>
      <c r="L45" s="2"/>
      <c r="M45" s="2"/>
      <c r="N45" s="2"/>
      <c r="O45" s="2"/>
      <c r="P45" s="2"/>
      <c r="Q45" s="2"/>
      <c r="R45" s="2"/>
      <c r="S45" s="2"/>
      <c r="T45" s="2"/>
      <c r="U45" s="2"/>
      <c r="V45" s="2"/>
      <c r="W45" s="2"/>
      <c r="X45" s="2"/>
      <c r="Y45" s="2"/>
      <c r="Z45" s="2"/>
    </row>
    <row r="46" ht="15.75" customHeight="1">
      <c r="A46" s="4" t="s">
        <v>1050</v>
      </c>
      <c r="B46" s="4" t="s">
        <v>41</v>
      </c>
      <c r="C46" s="4" t="s">
        <v>1051</v>
      </c>
      <c r="D46" s="4" t="s">
        <v>1052</v>
      </c>
      <c r="E46" s="4" t="s">
        <v>1001</v>
      </c>
      <c r="F46" s="10" t="s">
        <v>1002</v>
      </c>
      <c r="G46" s="4" t="s">
        <v>869</v>
      </c>
      <c r="H46" s="4" t="s">
        <v>877</v>
      </c>
      <c r="I46" s="14" t="s">
        <v>871</v>
      </c>
      <c r="J46" s="2"/>
      <c r="K46" s="2"/>
      <c r="L46" s="2"/>
      <c r="M46" s="2"/>
      <c r="N46" s="2"/>
      <c r="O46" s="2"/>
      <c r="P46" s="2"/>
      <c r="Q46" s="2"/>
      <c r="R46" s="2"/>
      <c r="S46" s="2"/>
      <c r="T46" s="2"/>
      <c r="U46" s="2"/>
      <c r="V46" s="2"/>
      <c r="W46" s="2"/>
      <c r="X46" s="2"/>
      <c r="Y46" s="2"/>
      <c r="Z46" s="2"/>
    </row>
    <row r="47" ht="15.75" customHeight="1">
      <c r="A47" s="4" t="s">
        <v>1053</v>
      </c>
      <c r="B47" s="4" t="s">
        <v>41</v>
      </c>
      <c r="C47" s="4" t="s">
        <v>1054</v>
      </c>
      <c r="D47" s="4" t="s">
        <v>1055</v>
      </c>
      <c r="E47" s="4" t="s">
        <v>158</v>
      </c>
      <c r="F47" s="10" t="s">
        <v>1056</v>
      </c>
      <c r="G47" s="4" t="s">
        <v>869</v>
      </c>
      <c r="H47" s="4" t="s">
        <v>987</v>
      </c>
      <c r="I47" s="14" t="s">
        <v>871</v>
      </c>
      <c r="J47" s="2"/>
      <c r="K47" s="2"/>
      <c r="L47" s="2"/>
      <c r="M47" s="2"/>
      <c r="N47" s="2"/>
      <c r="O47" s="2"/>
      <c r="P47" s="2"/>
      <c r="Q47" s="2"/>
      <c r="R47" s="2"/>
      <c r="S47" s="2"/>
      <c r="T47" s="2"/>
      <c r="U47" s="2"/>
      <c r="V47" s="2"/>
      <c r="W47" s="2"/>
      <c r="X47" s="2"/>
      <c r="Y47" s="2"/>
      <c r="Z47" s="2"/>
    </row>
    <row r="48" ht="15.75" customHeight="1">
      <c r="A48" s="4" t="s">
        <v>1057</v>
      </c>
      <c r="B48" s="4" t="s">
        <v>41</v>
      </c>
      <c r="C48" s="4" t="s">
        <v>1058</v>
      </c>
      <c r="D48" s="4" t="s">
        <v>1059</v>
      </c>
      <c r="E48" s="4" t="s">
        <v>1009</v>
      </c>
      <c r="F48" s="10" t="s">
        <v>1060</v>
      </c>
      <c r="G48" s="4" t="s">
        <v>869</v>
      </c>
      <c r="H48" s="4" t="s">
        <v>877</v>
      </c>
      <c r="I48" s="14" t="s">
        <v>871</v>
      </c>
      <c r="J48" s="2"/>
      <c r="K48" s="2"/>
      <c r="L48" s="2"/>
      <c r="M48" s="2"/>
      <c r="N48" s="2"/>
      <c r="O48" s="2"/>
      <c r="P48" s="2"/>
      <c r="Q48" s="2"/>
      <c r="R48" s="2"/>
      <c r="S48" s="2"/>
      <c r="T48" s="2"/>
      <c r="U48" s="2"/>
      <c r="V48" s="2"/>
      <c r="W48" s="2"/>
      <c r="X48" s="2"/>
      <c r="Y48" s="2"/>
      <c r="Z48" s="2"/>
    </row>
    <row r="49" ht="15.75" customHeight="1">
      <c r="A49" s="4" t="s">
        <v>1061</v>
      </c>
      <c r="B49" s="4" t="s">
        <v>41</v>
      </c>
      <c r="C49" s="4" t="s">
        <v>1062</v>
      </c>
      <c r="D49" s="4" t="s">
        <v>1063</v>
      </c>
      <c r="E49" s="4" t="s">
        <v>1064</v>
      </c>
      <c r="F49" s="10" t="s">
        <v>1065</v>
      </c>
      <c r="G49" s="4" t="s">
        <v>869</v>
      </c>
      <c r="H49" s="4" t="s">
        <v>888</v>
      </c>
      <c r="I49" s="14" t="s">
        <v>871</v>
      </c>
      <c r="J49" s="2"/>
      <c r="K49" s="2"/>
      <c r="L49" s="2"/>
      <c r="M49" s="2"/>
      <c r="N49" s="2"/>
      <c r="O49" s="2"/>
      <c r="P49" s="2"/>
      <c r="Q49" s="2"/>
      <c r="R49" s="2"/>
      <c r="S49" s="2"/>
      <c r="T49" s="2"/>
      <c r="U49" s="2"/>
      <c r="V49" s="2"/>
      <c r="W49" s="2"/>
      <c r="X49" s="2"/>
      <c r="Y49" s="2"/>
      <c r="Z49" s="2"/>
    </row>
    <row r="50" ht="15.75" customHeight="1">
      <c r="A50" s="4" t="s">
        <v>1066</v>
      </c>
      <c r="B50" s="4" t="s">
        <v>41</v>
      </c>
      <c r="C50" s="4" t="s">
        <v>1067</v>
      </c>
      <c r="D50" s="4" t="s">
        <v>1068</v>
      </c>
      <c r="E50" s="4" t="s">
        <v>158</v>
      </c>
      <c r="F50" s="10" t="s">
        <v>1069</v>
      </c>
      <c r="G50" s="4" t="s">
        <v>869</v>
      </c>
      <c r="H50" s="4" t="s">
        <v>987</v>
      </c>
      <c r="I50" s="14" t="s">
        <v>871</v>
      </c>
      <c r="J50" s="2"/>
      <c r="K50" s="2"/>
      <c r="L50" s="2"/>
      <c r="M50" s="2"/>
      <c r="N50" s="2"/>
      <c r="O50" s="2"/>
      <c r="P50" s="2"/>
      <c r="Q50" s="2"/>
      <c r="R50" s="2"/>
      <c r="S50" s="2"/>
      <c r="T50" s="2"/>
      <c r="U50" s="2"/>
      <c r="V50" s="2"/>
      <c r="W50" s="2"/>
      <c r="X50" s="2"/>
      <c r="Y50" s="2"/>
      <c r="Z50" s="2"/>
    </row>
    <row r="51" ht="15.75" customHeight="1">
      <c r="A51" s="4" t="s">
        <v>1070</v>
      </c>
      <c r="B51" s="4" t="s">
        <v>41</v>
      </c>
      <c r="C51" s="4" t="s">
        <v>1071</v>
      </c>
      <c r="D51" s="4" t="s">
        <v>1072</v>
      </c>
      <c r="E51" s="4" t="s">
        <v>1073</v>
      </c>
      <c r="F51" s="10" t="s">
        <v>1074</v>
      </c>
      <c r="G51" s="4" t="s">
        <v>869</v>
      </c>
      <c r="H51" s="4"/>
      <c r="I51" s="14" t="s">
        <v>871</v>
      </c>
      <c r="J51" s="2"/>
      <c r="K51" s="2"/>
      <c r="L51" s="2"/>
      <c r="M51" s="2"/>
      <c r="N51" s="2"/>
      <c r="O51" s="2"/>
      <c r="P51" s="2"/>
      <c r="Q51" s="2"/>
      <c r="R51" s="2"/>
      <c r="S51" s="2"/>
      <c r="T51" s="2"/>
      <c r="U51" s="2"/>
      <c r="V51" s="2"/>
      <c r="W51" s="2"/>
      <c r="X51" s="2"/>
      <c r="Y51" s="2"/>
      <c r="Z51" s="2"/>
    </row>
    <row r="52" ht="15.75" customHeight="1">
      <c r="A52" s="4" t="s">
        <v>1075</v>
      </c>
      <c r="B52" s="4" t="s">
        <v>41</v>
      </c>
      <c r="C52" s="4" t="s">
        <v>1076</v>
      </c>
      <c r="D52" s="4" t="s">
        <v>1077</v>
      </c>
      <c r="E52" s="4" t="s">
        <v>1078</v>
      </c>
      <c r="F52" s="10" t="s">
        <v>1079</v>
      </c>
      <c r="G52" s="4" t="s">
        <v>869</v>
      </c>
      <c r="H52" s="4"/>
      <c r="I52" s="14" t="s">
        <v>871</v>
      </c>
      <c r="J52" s="2"/>
      <c r="K52" s="2"/>
      <c r="L52" s="2"/>
      <c r="M52" s="2"/>
      <c r="N52" s="2"/>
      <c r="O52" s="2"/>
      <c r="P52" s="2"/>
      <c r="Q52" s="2"/>
      <c r="R52" s="2"/>
      <c r="S52" s="2"/>
      <c r="T52" s="2"/>
      <c r="U52" s="2"/>
      <c r="V52" s="2"/>
      <c r="W52" s="2"/>
      <c r="X52" s="2"/>
      <c r="Y52" s="2"/>
      <c r="Z52" s="2"/>
    </row>
    <row r="53" ht="15.75" customHeight="1">
      <c r="A53" s="4" t="s">
        <v>1080</v>
      </c>
      <c r="B53" s="4" t="s">
        <v>41</v>
      </c>
      <c r="C53" s="4" t="s">
        <v>1081</v>
      </c>
      <c r="D53" s="4" t="s">
        <v>1082</v>
      </c>
      <c r="E53" s="4" t="s">
        <v>158</v>
      </c>
      <c r="F53" s="10" t="s">
        <v>1083</v>
      </c>
      <c r="G53" s="4" t="s">
        <v>869</v>
      </c>
      <c r="H53" s="4" t="s">
        <v>1028</v>
      </c>
      <c r="I53" s="14" t="s">
        <v>871</v>
      </c>
      <c r="J53" s="2"/>
      <c r="K53" s="2"/>
      <c r="L53" s="2"/>
      <c r="M53" s="2"/>
      <c r="N53" s="2"/>
      <c r="O53" s="2"/>
      <c r="P53" s="2"/>
      <c r="Q53" s="2"/>
      <c r="R53" s="2"/>
      <c r="S53" s="2"/>
      <c r="T53" s="2"/>
      <c r="U53" s="2"/>
      <c r="V53" s="2"/>
      <c r="W53" s="2"/>
      <c r="X53" s="2"/>
      <c r="Y53" s="2"/>
      <c r="Z53" s="2"/>
    </row>
    <row r="54" ht="15.75" customHeight="1">
      <c r="A54" s="4" t="s">
        <v>1084</v>
      </c>
      <c r="B54" s="4" t="s">
        <v>41</v>
      </c>
      <c r="C54" s="4" t="s">
        <v>1085</v>
      </c>
      <c r="D54" s="4" t="s">
        <v>1086</v>
      </c>
      <c r="E54" s="4" t="s">
        <v>158</v>
      </c>
      <c r="F54" s="10" t="s">
        <v>1087</v>
      </c>
      <c r="G54" s="4" t="s">
        <v>869</v>
      </c>
      <c r="H54" s="4" t="s">
        <v>1028</v>
      </c>
      <c r="I54" s="14" t="s">
        <v>871</v>
      </c>
      <c r="J54" s="2"/>
      <c r="K54" s="2"/>
      <c r="L54" s="2"/>
      <c r="M54" s="2"/>
      <c r="N54" s="2"/>
      <c r="O54" s="2"/>
      <c r="P54" s="2"/>
      <c r="Q54" s="2"/>
      <c r="R54" s="2"/>
      <c r="S54" s="2"/>
      <c r="T54" s="2"/>
      <c r="U54" s="2"/>
      <c r="V54" s="2"/>
      <c r="W54" s="2"/>
      <c r="X54" s="2"/>
      <c r="Y54" s="2"/>
      <c r="Z54" s="2"/>
    </row>
    <row r="55" ht="15.75" customHeight="1">
      <c r="A55" s="4" t="s">
        <v>1088</v>
      </c>
      <c r="B55" s="4" t="s">
        <v>41</v>
      </c>
      <c r="C55" s="4" t="s">
        <v>1089</v>
      </c>
      <c r="D55" s="4" t="s">
        <v>1090</v>
      </c>
      <c r="E55" s="4" t="s">
        <v>158</v>
      </c>
      <c r="F55" s="10" t="s">
        <v>1091</v>
      </c>
      <c r="G55" s="4" t="s">
        <v>869</v>
      </c>
      <c r="H55" s="4" t="s">
        <v>987</v>
      </c>
      <c r="I55" s="14" t="s">
        <v>871</v>
      </c>
      <c r="J55" s="2"/>
      <c r="K55" s="2"/>
      <c r="L55" s="2"/>
      <c r="M55" s="2"/>
      <c r="N55" s="2"/>
      <c r="O55" s="2"/>
      <c r="P55" s="2"/>
      <c r="Q55" s="2"/>
      <c r="R55" s="2"/>
      <c r="S55" s="2"/>
      <c r="T55" s="2"/>
      <c r="U55" s="2"/>
      <c r="V55" s="2"/>
      <c r="W55" s="2"/>
      <c r="X55" s="2"/>
      <c r="Y55" s="2"/>
      <c r="Z55" s="2"/>
    </row>
    <row r="56" ht="15.75" customHeight="1">
      <c r="A56" s="4" t="s">
        <v>1092</v>
      </c>
      <c r="B56" s="4" t="s">
        <v>41</v>
      </c>
      <c r="C56" s="4" t="s">
        <v>1093</v>
      </c>
      <c r="D56" s="4" t="s">
        <v>1094</v>
      </c>
      <c r="E56" s="4" t="s">
        <v>158</v>
      </c>
      <c r="F56" s="10" t="s">
        <v>1095</v>
      </c>
      <c r="G56" s="4" t="s">
        <v>869</v>
      </c>
      <c r="H56" s="4" t="s">
        <v>987</v>
      </c>
      <c r="I56" s="14" t="s">
        <v>871</v>
      </c>
      <c r="J56" s="2"/>
      <c r="K56" s="2"/>
      <c r="L56" s="2"/>
      <c r="M56" s="2"/>
      <c r="N56" s="2"/>
      <c r="O56" s="2"/>
      <c r="P56" s="2"/>
      <c r="Q56" s="2"/>
      <c r="R56" s="2"/>
      <c r="S56" s="2"/>
      <c r="T56" s="2"/>
      <c r="U56" s="2"/>
      <c r="V56" s="2"/>
      <c r="W56" s="2"/>
      <c r="X56" s="2"/>
      <c r="Y56" s="2"/>
      <c r="Z56" s="2"/>
    </row>
    <row r="57" ht="15.75" customHeight="1">
      <c r="A57" s="4" t="s">
        <v>1096</v>
      </c>
      <c r="B57" s="4" t="s">
        <v>41</v>
      </c>
      <c r="C57" s="4" t="s">
        <v>1097</v>
      </c>
      <c r="D57" s="4" t="s">
        <v>1098</v>
      </c>
      <c r="E57" s="4" t="s">
        <v>1099</v>
      </c>
      <c r="F57" s="10" t="s">
        <v>1100</v>
      </c>
      <c r="G57" s="4" t="s">
        <v>869</v>
      </c>
      <c r="H57" s="4"/>
      <c r="I57" s="14" t="s">
        <v>871</v>
      </c>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I$57"/>
  <dataValidations>
    <dataValidation type="list" allowBlank="1" sqref="I2:I57">
      <formula1>"Manter descartado,Reincluir"</formula1>
    </dataValidation>
  </dataValidations>
  <printOptions/>
  <pageMargins bottom="1.0" footer="0.0" header="0.0" left="0.75" right="0.75" top="1.0"/>
  <pageSetup orientation="landscape"/>
  <drawing r:id="rId1"/>
</worksheet>
</file>