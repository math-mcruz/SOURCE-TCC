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a" sheetId="1" r:id="rId5"/>
    <sheet state="visible" name="Resumo" sheetId="2" r:id="rId6"/>
    <sheet state="visible" name="Candidatos" sheetId="3" r:id="rId7"/>
    <sheet state="visible" name="Descartados" sheetId="4" r:id="rId8"/>
  </sheets>
  <definedNames>
    <definedName hidden="1" localSheetId="2" name="_xlnm._FilterDatabase">Candidatos!$A$1:$P$145</definedName>
    <definedName hidden="1" localSheetId="3" name="_xlnm._FilterDatabase">Descartados!$A$1:$I$57</definedName>
  </definedNames>
  <calcPr/>
</workbook>
</file>

<file path=xl/sharedStrings.xml><?xml version="1.0" encoding="utf-8"?>
<sst xmlns="http://schemas.openxmlformats.org/spreadsheetml/2006/main" count="2249" uniqueCount="1098">
  <si>
    <t>Gabarito (ground-truth)</t>
  </si>
  <si>
    <t>Origem</t>
  </si>
  <si>
    <t>Programas da CBSA na pasta ORIGINAL do repositório da base de dados (commit e22475691524ef72a92ee77f7040233e098ab1b9, ijmitch/cics-banking-sample-application-cbsa). Números de linha referem-se aos arquivos do ORIGINAL.</t>
  </si>
  <si>
    <t>Arquivos (SHA-256)</t>
  </si>
  <si>
    <t>DBCRFUN.cbl: 632917d17138331d540b05823c840eb204675ddb79ac9eac0d8d6d847982056f
XFRFUN.cbl: 9c642ade5e1211b77b7c264eaea18f8cf88cb035af32ed55c66278482e51013e
BNK1CRA.cbl: 061d73de30c1a3635db44b1f9dc8faebc71ea8e024fee48db499ad1ecda4ab97
BNK1TFN.cbl: 8bbc799b498a756a367ccf6dfb52d1d15579fe72332efbb86906e729edf519e2</t>
  </si>
  <si>
    <t>Como foi gerado</t>
  </si>
  <si>
    <t>Extração automática (script monta_planilha.py). Cada bloco de comentário da PROCEDURE DIVISION é pareado ao código que o segue, até o próximo comentário. O trecho exibido é limitado a 50 linhas, mas o filtro avalia o bloco inteiro. Quando o comentário vem logo após uma linha IF, ELSE, WHEN ou EVALUATE, essa linha (cabeçalho) é usada para reter o par se o corpo não tiver decisão nem falha, e aparece com o prefixo [cab.].</t>
  </si>
  <si>
    <t>Filtro (E4, seção 1.3)</t>
  </si>
  <si>
    <t>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</si>
  <si>
    <t>O que preencher</t>
  </si>
  <si>
    <t>Aba Candidatos, colunas J a M (fundo amarelo): Regra de negócio extraída, Categoria, Status e Observação, mesmas colunas usadas na revisão manual do DBCRFUN. Colunas O e P (amarelas): ID atômico (sub-regra), preenchido com a, b, c apenas quando o bloco contiver mais de uma regra, e Comentário defasado? (Sim ou Não), preenchido em toda linha revisada. Na aba Descartados, coluna I.</t>
  </si>
  <si>
    <t>Valores da revisão</t>
  </si>
  <si>
    <t>Categoria: regra de negócio, infraestrutura (excluída) ou a discutir (lista suspensa). Status: A validar ou Validado. Comentário defasado?: Sim (o comentário não corresponde mais ao código) ou Não. Em Descartados: Manter descartado ou Reincluir.</t>
  </si>
  <si>
    <t>Alertas</t>
  </si>
  <si>
    <t>possível código desativado: o comentário parece uma instrução COBOL comentada. comentário curto: até 3 palavras. trecho truncado: o código do par passa do limite de linhas exibidas; a coluna Linhas do código mostra o intervalo completo e a classificação considerou todo o bloco. comentários adjacentes fundidos: o bloco seguinte de comentário foi unido porque o trecho entre eles não tinha código ativo. decisão no cabeçalho anterior ao comentário: o par foi retido pela linha IF/ELSE/WHEN/EVALUATE que precede o comentário (linhas indicadas; também no código da linha anterior da planilha). comentário delega lógica (PERFORM): o trecho só chama outro parágrafo; a regra pode estar no parágrafo executado. contém GO TO: há desvio incondicional no trecho. Qtd decisões (coluna N): total de IF, EVALUATE e WHEN do bloco inteiro (+1 quando o par foi retido pelo cabeçalho); é uma contagem, não a profundidade de aninhamento. comentário menciona condição (aba Descartados): o comentário descreve uma condição, mas o trecho seguinte é só ação; a decisão pode estar antes no fonte.</t>
  </si>
  <si>
    <t>Limitações</t>
  </si>
  <si>
    <t>A triagem é heurística e não substitui a revisão dupla. Comentários de cabeçalho (antes da PROCEDURE DIVISION) não entram. Regras sem comentário associado não geram par. Linhas de depuração (indicador D) aparecem com o prefixo [D]. O tipo (Decisão, Falha, Decisão e falha) é atribuído ao bloco inteiro, não ao comentário isolado. O cabeçalho IF/ELSE que precede um comentário continua também no código do par anterior (cada linha de código pertence a um único par, exceto o cabeçalho exibido como contexto).</t>
  </si>
  <si>
    <t>Rascunho (assistente)</t>
  </si>
  <si>
    <t>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</si>
  <si>
    <t>Reincluídas</t>
  </si>
  <si>
    <t>Blocos marcados como 'Reincluir' na aba Descartados são registrados ao final da aba Candidatos, com o mesmo ID, Tipo 'Reincluído' e Estruturas 'procedural'. Na aba Resumo, deixam de ser contados como descartados e passam a contar como candidatos retidos (a soma de Decisão, Falha e Decisão e falha fica menor que Candidatos retidos pelo número de reincluídas).</t>
  </si>
  <si>
    <t>Exemplo de regra atômica</t>
  </si>
  <si>
    <t>Ilustrativo, não faz parte do gabarito: "Se o valor solicitado for um débito e o saldo disponível for insuficiente, a solicitação é negada." (uma condição e uma consequência por regra)</t>
  </si>
  <si>
    <t>Programa</t>
  </si>
  <si>
    <t>Blocos com texto</t>
  </si>
  <si>
    <t>Candidatos retidos</t>
  </si>
  <si>
    <t>Descartados</t>
  </si>
  <si>
    <t>Decisão</t>
  </si>
  <si>
    <t>Falha</t>
  </si>
  <si>
    <t>Decisão e falha</t>
  </si>
  <si>
    <t>Com alertas</t>
  </si>
  <si>
    <t>Regra de negócio</t>
  </si>
  <si>
    <t>Infraestrutura (excluída)</t>
  </si>
  <si>
    <t>A discutir</t>
  </si>
  <si>
    <t>Validados</t>
  </si>
  <si>
    <t>Pendentes</t>
  </si>
  <si>
    <t>Defasagem avaliada</t>
  </si>
  <si>
    <t>Comentário defasado (Sim)</t>
  </si>
  <si>
    <t>DBCRFUN</t>
  </si>
  <si>
    <t>XFRFUN</t>
  </si>
  <si>
    <t>BNK1CRA</t>
  </si>
  <si>
    <t>BNK1TFN</t>
  </si>
  <si>
    <t>TOTAL</t>
  </si>
  <si>
    <t>Contagens por fórmula: atualizam conforme a revisão é preenchida na aba Candidatos.</t>
  </si>
  <si>
    <t>ID</t>
  </si>
  <si>
    <t>Linhas do comentário</t>
  </si>
  <si>
    <t>Linhas do código</t>
  </si>
  <si>
    <t>Comentário</t>
  </si>
  <si>
    <t>Trecho de código</t>
  </si>
  <si>
    <t>Tipo</t>
  </si>
  <si>
    <t>Estruturas</t>
  </si>
  <si>
    <t>Regra de negócio extraída</t>
  </si>
  <si>
    <t>Categoria</t>
  </si>
  <si>
    <t>Status</t>
  </si>
  <si>
    <t>Observação</t>
  </si>
  <si>
    <t>Qtd decisões</t>
  </si>
  <si>
    <t>ID atômico (sub-regra)</t>
  </si>
  <si>
    <t>Comentário defasado?</t>
  </si>
  <si>
    <t>DBCRFUN-001</t>
  </si>
  <si>
    <t>205</t>
  </si>
  <si>
    <t>207-212</t>
  </si>
  <si>
    <t>Set up some Abend handling</t>
  </si>
  <si>
    <t xml:space="preserve">    EXEC CICS HANDLE ABEND
       LABEL(ABEND-HANDLING)
    END-EXEC.
    MOVE SORTCODE TO COMM-SORTC.
    MOVE SORTCODE TO DESIRED-SORT-CODE.</t>
  </si>
  <si>
    <t>falha</t>
  </si>
  <si>
    <t>infraestrutura (excluída)</t>
  </si>
  <si>
    <t>Validado</t>
  </si>
  <si>
    <t>Configuração do tratamento de ABEND (HANDLE ABEND) e cópia do código da agência (SORTCODE), sem decisão de negócio.</t>
  </si>
  <si>
    <t>DBCRFUN-005</t>
  </si>
  <si>
    <t>276-277</t>
  </si>
  <si>
    <t>279-287</t>
  </si>
  <si>
    <t>Check that select was successful. If it wasn't then deal with it</t>
  </si>
  <si>
    <t xml:space="preserve">    IF SQLCODE NOT = 0
       MOVE 'N' TO COMM-SUCCESS
       IF SQLCODE = +100
          MOVE '1' TO COMM-FAIL-CODE
       ELSE
          MOVE '2' TO COMM-FAIL-CODE
       END-IF</t>
  </si>
  <si>
    <t>IF, falha</t>
  </si>
  <si>
    <t xml:space="preserve">Se a conta solicitada não for encontrada (SQLCODE igual a +100), a operação é sinalizada como malsucedida com o código de falha '1'.
</t>
  </si>
  <si>
    <t>regra de negócio</t>
  </si>
  <si>
    <t>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</si>
  <si>
    <t>DBCRFUN-007</t>
  </si>
  <si>
    <t>301-304</t>
  </si>
  <si>
    <t>307</t>
  </si>
  <si>
    <t>Is the amount being requested a debit or a credit? If it is a CREDIT (+) then we don't need to ensure that the available balance has sufficient funds, because this is money coming in.</t>
  </si>
  <si>
    <t xml:space="preserve">    IF COMM-AMT &lt; 0</t>
  </si>
  <si>
    <t>IF</t>
  </si>
  <si>
    <t>Se o valor solicitado for crédito (não negativo), a suficiência do saldo disponível não é verificada.</t>
  </si>
  <si>
    <t>O código contém só a condição (COMM-AMT &lt; 0); as consequências do débito estão na DBCRFUN-008. Não há ELSE: crédito e valor zero não entram no bloco. A checagem de MORTGAGE/LOAN reaparece após o END-IF (DBCRFUN-009).</t>
  </si>
  <si>
    <t>DBCRFUN-008</t>
  </si>
  <si>
    <t>309-328</t>
  </si>
  <si>
    <t>316-352</t>
  </si>
  <si>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</si>
  <si>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</si>
  <si>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comentários adjacentes fundidos; contém GO TO (desvio incondicional)</t>
  </si>
  <si>
    <t>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</si>
  <si>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</si>
  <si>
    <t>DBCRFUN-009</t>
  </si>
  <si>
    <t>356-366</t>
  </si>
  <si>
    <t>368-376</t>
  </si>
  <si>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</si>
  <si>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</si>
  <si>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contém GO TO (desvio incondicional)</t>
  </si>
  <si>
    <t>Se a solicitação vier por pagamento (COMM-FACILTYPE igual a 496) e a conta for do tipo MORTGAGE ou LOAN, a solicitação é negada com o código de falha '4'.</t>
  </si>
  <si>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</si>
  <si>
    <t>DBCRFUN-012</t>
  </si>
  <si>
    <t>411-412</t>
  </si>
  <si>
    <t>414-419</t>
  </si>
  <si>
    <t>If the rewrite was successful then we need to pass back the amended available balance and actual balance.</t>
  </si>
  <si>
    <t xml:space="preserve">    MOVE SQLCODE TO SQLCODE-DISPLAY.
    MOVE HV-ACCOUNT-AVAIL-BAL TO
       COMM-AV-BAL.
    MOVE HV-ACCOUNT-ACTUAL-BAL TO
       COMM-ACT-BAL.</t>
  </si>
  <si>
    <t>Sem estrutura de decisão (retido por conter 'SQLCODE'). O comentário diz 'if the rewrite was successful', mas os MOVE de saldos ocorrem sem condição, antes do IF SQLCODE NOT = 0 (DBCRFUN-013): os saldos são devolvidos mesmo se a atualização falhar.</t>
  </si>
  <si>
    <t>DBCRFUN-013</t>
  </si>
  <si>
    <t>422-423</t>
  </si>
  <si>
    <t>425-427</t>
  </si>
  <si>
    <t>If the RESP CODE was NOT OK then we need to set flags accordingly</t>
  </si>
  <si>
    <t xml:space="preserve">    IF SQLCODE NOT = 0
       MOVE 'N' TO COMM-SUCCESS
       MOVE '2' TO COMM-FAIL-CODE</t>
  </si>
  <si>
    <t>Falha técnica de DB2 na atualização, excluída como infraestrutura (mesmo critério aplicado ao código '2' da DBCRFUN-005). O código '2' chega ao usuário como 'unexpected error' (BNK1CRA-025). O trecho termina antes do tratamento de storm drain (DBCRFUN-014, Descartados).</t>
  </si>
  <si>
    <t>DBCRFUN-017</t>
  </si>
  <si>
    <t>473</t>
  </si>
  <si>
    <t>475-493</t>
  </si>
  <si>
    <t>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</si>
  <si>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</si>
  <si>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Se o valor solicitado for negativo (débito), a transação registrada recebe o tipo 'DEB' e a descrição 'COUNTER WTHDRW'.</t>
  </si>
  <si>
    <t>O trecho inclui ASKTIME/FORMATTIME (data e hora da transação; procedural, fora da regra). O tipo 'DEB' é sobrescrito por 'PDR' quando a solicitação vem por pagamento (DBCRFUN-018). O ELSE de crédito ('CRE') também está na 018. A condição COMM-AMT &lt; 0 repete a da DBCRFUN-007.</t>
  </si>
  <si>
    <t>DBCRFUN-018</t>
  </si>
  <si>
    <t>496</t>
  </si>
  <si>
    <t>498-506</t>
  </si>
  <si>
    <t>If it is a debit from a PAYMENT</t>
  </si>
  <si>
    <t xml:space="preserve">       IF COMM-FACILTYPE = 496
          MOVE 'PDR' TO HV-PROCTRAN-TYPE
          MOVE COMM-ORIGIN(1:14) TO
             HV-PROCTRAN-DESC
       END-IF
    ELSE
       MOVE 'CRE' TO HV-PROCTRAN-TYPE
       MOVE 'COUNTER RECVED' TO HV-PROCTRAN-DESC</t>
  </si>
  <si>
    <t>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</si>
  <si>
    <t>O ELSE fecha o IF COMM-AMT &lt; 0 aberto na DBCRFUN-017; o comentário cobre apenas a regra 1. Linha vale por duas regras.</t>
  </si>
  <si>
    <t>DBCRFUN-019</t>
  </si>
  <si>
    <t>509</t>
  </si>
  <si>
    <t>511-519</t>
  </si>
  <si>
    <t>If it is a credit from a PAYMENT</t>
  </si>
  <si>
    <t xml:space="preserve">       IF COMM-FACILTYPE = 496
          MOVE 'PCR' TO HV-PROCTRAN-TYPE
          MOVE COMM-ORIGIN(1:14) TO
             HV-PROCTRAN-DESC
       END-IF
    END-IF.
    MOVE COMM-AMT TO HV-PROCTRAN-AMOUNT.</t>
  </si>
  <si>
    <t>Se o valor solicitado for um crédito feito por pagamento (COMM-FACILTYPE igual a 496), o tipo da transação registrada passa a 'PCR' e a descrição recebe os 14 primeiros caracteres da origem (COMM-ORIGIN).</t>
  </si>
  <si>
    <t>IF aninhado no ramo de crédito (ELSE da 018). O MOVE COMM-AMT TO HV-PROCTRAN-AMOUNT ao final é procedural e fica fora da regra.</t>
  </si>
  <si>
    <t>DBCRFUN-021</t>
  </si>
  <si>
    <t>552</t>
  </si>
  <si>
    <t>554-559</t>
  </si>
  <si>
    <t>Check the SQLCODE</t>
  </si>
  <si>
    <t xml:space="preserve">    IF SQLCODE NOT = 0
       MOVE SQLCODE TO SQLCODE-DISPLAY
       DISPLAY 'UNABLE TO WRITE TO PROCTRAN DB2 DATASTORE'
       ' SQLCODE=' SQLCODE-DISPLAY
       'WITH THE FOLLOWING DATA:' HOST-PROCTRAN-ROW</t>
  </si>
  <si>
    <t>comentário curto</t>
  </si>
  <si>
    <t>Falha na gravação em PROCTRAN (DB2): exibe diagnóstico; o rollback (022) e o ABEND (023) completam o tratamento. Falha técnica, fora do escopo pelo critério de infraestrutura. O efeito (operação desfeita se o registro falhar) é regra de consistência.</t>
  </si>
  <si>
    <t>DBCRFUN-022</t>
  </si>
  <si>
    <t>561-562</t>
  </si>
  <si>
    <t>564-569</t>
  </si>
  <si>
    <t>You need to issue a ROLLBACK to get rid of the updated ACCOUNT record</t>
  </si>
  <si>
    <t xml:space="preserve">       EXEC CICS SYNCPOINT ROLLBACK
          RESP(WS-CICS-RESP)
          RESP2(WS-CICS-RESP2)
       END-EXEC
       IF WS-CICS-RESP NOT = DFHRESP(NORMAL)</t>
  </si>
  <si>
    <t>Rollback da atualização da conta (SYNCPOINT ROLLBACK) e verificação do RESP; infraestrutura transacional.</t>
  </si>
  <si>
    <t>DBCRFUN-023</t>
  </si>
  <si>
    <t>571-574</t>
  </si>
  <si>
    <t>576-578</t>
  </si>
  <si>
    <t>Preserve the RESP and RESP2, then set up the standard ABEND info before getting the applid, date/time etc. and linking to the Abend Handler program.</t>
  </si>
  <si>
    <t xml:space="preserve">          INITIALIZE ABNDINFO-REC
          MOVE EIBRESP    TO ABND-RESPCODE
          MOVE EIBRESP2   TO ABND-RESP2CODE</t>
  </si>
  <si>
    <t>Montagem padrão das informações de ABEND (INITIALIZE ABNDINFO-REC; MOVE EIBRESP/EIBRESP2); tratamento técnico sem semântica bancária.</t>
  </si>
  <si>
    <t>DBCRFUN-024</t>
  </si>
  <si>
    <t>580</t>
  </si>
  <si>
    <t>582-637</t>
  </si>
  <si>
    <t>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</si>
  <si>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
          EXEC CICS LINK PROGRAM(WS-ABEND-PGM)
                    COMMAREA(ABNDINFO-REC)
          END-EXEC
          DISPLAY ' COULD NOT ROLL BACK, POSSIBLE DATA '
             'INTEGRITY ISSUE BETWEEN ACCOUNT AND PROCTRAN '
             'FOR ROW:' HOST-PROCTRAN-ROW
             'RESP CODE=' WS-CICS-RESP ' RESP2 CODE='
             WS-CICS-RESP2
          EXEC CICS ABEND
             ABCODE ('HROL')
             CANCEL
          END-EXEC
       END-IF
       MOVE 'N' TO COMM-SUCCESS
       MOVE '02' TO COMM-FAIL-CODE</t>
  </si>
  <si>
    <t>Coleta de informações complementares de ABEND (PERFORM POPULATE-TIME-DATE, LINK ao tratador de ABEND, ABEND); tratamento técnico sem semântica bancária. Estava como 'Manter descartado' na planilha anterior; o script agora o retém por conter ABEND (antes o trecho era cortado antes dele).</t>
  </si>
  <si>
    <t>DBCRFUN-026</t>
  </si>
  <si>
    <t>647</t>
  </si>
  <si>
    <t>644; 649-669</t>
  </si>
  <si>
    <t>If the WRITE to PROCTRAN worked then it was a success</t>
  </si>
  <si>
    <t>[cab.]     ELSE
       MOVE 'Y' TO COMM-SUCCESS
       MOVE '0' TO COMM-FAIL-CODE
    END-IF.
WTPD999.
    EXIT.
GET-ME-OUT-OF-HERE SECTION.
GMOOH010.
    EXEC CICS RETURN
    END-EXEC.
    GOBACK.
GMOOH999.
    EXIT.
CHECK-FOR-STORM-DRAIN-DB2 SECTION.
CFSDD010.</t>
  </si>
  <si>
    <t>ELSE (cabeçalho)</t>
  </si>
  <si>
    <t>decisão no cabeçalho anterior ao comentário (linha 644)</t>
  </si>
  <si>
    <t>Se a gravação em PROCTRAN for bem-sucedida, a operação é sinalizada como bem-sucedida (COMM-SUCCESS igual a 'Y') com o código de falha '0'.</t>
  </si>
  <si>
    <t>A validar</t>
  </si>
  <si>
    <t>[Rascunho] Reincluída da aba Descartados (motivo do descarte: procedural, sem decisão nem tratamento de falha). Ramo ELSE do IF SQLCODE NOT = 0 da gravação em PROCTRAN (ramo de falha na DBCRFUN-021, classificado como infraestrutura). É o único ponto em que COMM-SUCCESS recebe 'Y': o sucesso da operação depende da gravação do registro. O trecho extraído inclui as seções seguintes (GET-ME-OUT-OF-HERE e CHECK-FOR-STORM-DRAIN-DB2), por corte do extrator; ficam fora da regra.</t>
  </si>
  <si>
    <t>DBCRFUN-027</t>
  </si>
  <si>
    <t>671-672</t>
  </si>
  <si>
    <t>675-695</t>
  </si>
  <si>
    <t>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</si>
  <si>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</si>
  <si>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IF, EVALUATE, WHEN, falha</t>
  </si>
  <si>
    <t>Verificação de condição de storm drain do DB2 (EVALUATE SQLCODE, WHEN 923); infraestrutura.</t>
  </si>
  <si>
    <t>DBCRFUN-029</t>
  </si>
  <si>
    <t>708-713</t>
  </si>
  <si>
    <t>716</t>
  </si>
  <si>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</si>
  <si>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</si>
  <si>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EVALUATE</t>
  </si>
  <si>
    <t>Avaliação do código de ABEND (EVALUATE MY-ABEND-CODE) para diagnóstico e storm drain de DB2 e VSAM; infraestrutura.</t>
  </si>
  <si>
    <t>DBCRFUN-030</t>
  </si>
  <si>
    <t>718</t>
  </si>
  <si>
    <t>720-735</t>
  </si>
  <si>
    <t>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</si>
  <si>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</si>
  <si>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WHEN, falha</t>
  </si>
  <si>
    <t>Tratamento do ABEND AD2Z (deadlock DB2) com exibição de diagnósticos; infraestrutura.</t>
  </si>
  <si>
    <t>DBCRFUN-031</t>
  </si>
  <si>
    <t>738-740</t>
  </si>
  <si>
    <t>742-756</t>
  </si>
  <si>
    <t>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</si>
  <si>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</si>
  <si>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IF, WHEN, falha</t>
  </si>
  <si>
    <t>Tratamento dos ABEND AFCR, AFCS e AFCT (VSAM RLS, storm drain) com rollback; infraestrutura.</t>
  </si>
  <si>
    <t>DBCRFUN-032</t>
  </si>
  <si>
    <t>758-761</t>
  </si>
  <si>
    <t>763-765</t>
  </si>
  <si>
    <t xml:space="preserve">             INITIALIZE ABNDINFO-REC
             MOVE EIBRESP    TO ABND-RESPCODE
             MOVE EIBRESP2   TO ABND-RESP2CODE</t>
  </si>
  <si>
    <t>DBCRFUN-033</t>
  </si>
  <si>
    <t>767</t>
  </si>
  <si>
    <t>769-861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</si>
  <si>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
             EXEC CICS LINK PROGRAM(WS-ABEND-PGM)
                    COMMAREA(ABNDINFO-REC)
             END-EXEC
             DISPLAY 'DBCRFUN: Unable to perform Synpoint '
                'Rollback.'
                ' Possible Integrity issue following VSAM RLS'
                ' abend'
                ' RESP CODE=' WS-CICS-RESP
                ' RESP2 CODE=' WS-CICS-RESP2
             EXEC CICS ABEND
                ABCODE ('HROL')
                CANCEL
             END-EXEC
          END-IF
          MOVE 'N' TO COMM-SUCCESS
          MOVE '2' TO COMM-FAIL-CODE
          EXEC CICS RETURN
          END-EXEC
    END-EVALUATE.
    IF WS-STORM-DRAIN = 'N'</t>
  </si>
  <si>
    <t>comentário curto; trecho truncado (exibidas 50 de 71 linhas)</t>
  </si>
  <si>
    <t>Coleta de informações complementares de ABEND (PERFORM POPULATE-TIME-DATE, LINK ao tratador de ABEND, ABEND); tratamento técnico sem semântica bancária. Inclui a verificação de storm drain (IF WS-STORM-DRAIN = 'N' seguido de ABEND), que você definiu como infraestrutura. Exibidas 50 de 71 linhas: conferir no fonte o final do trecho (até a linha 861). Estava como 'Manter descartado' na planilha anterior.</t>
  </si>
  <si>
    <t>XFRFUN-001</t>
  </si>
  <si>
    <t>286-287</t>
  </si>
  <si>
    <t>289-296</t>
  </si>
  <si>
    <t>If the amount being transferred is negative, then flag this as a failure and finish.</t>
  </si>
  <si>
    <t xml:space="preserve">    IF COMM-AMT &lt;= ZERO
      MOVE 'N' TO COMM-SUCCESS
      MOVE '4' TO COMM-FAIL-CODE
      PERFORM GET-ME-OUT-OF-HERE
    END-IF.
    PERFORM UPDATE-ACCOUNT-DB2</t>
  </si>
  <si>
    <t>Se o valor a transferir for menor ou igual a zero, a transferência é negada e a operação é sinalizada como malsucedida com o código de falha '4'.</t>
  </si>
  <si>
    <t>[Rascunho] 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</si>
  <si>
    <t>XFRFUN-003</t>
  </si>
  <si>
    <t>313-314</t>
  </si>
  <si>
    <t>316-317</t>
  </si>
  <si>
    <t>Are we trying to transfer from and to the same account? We don't allow that.</t>
  </si>
  <si>
    <t xml:space="preserve">    IF COMM-FACCNO = COMM-TACCNO
       AND COMM-FSCODE = COMM-TSCODE</t>
  </si>
  <si>
    <t>Se a conta de origem e a conta de destino forem a mesma (mesmo número e mesmo código de agência), a transferência não é permitida e o programa é encerrado com ABEND de código 'SAME'.</t>
  </si>
  <si>
    <t>[Rascunho] 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</si>
  <si>
    <t>XFRFUN-004</t>
  </si>
  <si>
    <t>319-322</t>
  </si>
  <si>
    <t>324-326</t>
  </si>
  <si>
    <t xml:space="preserve">       INITIALIZE ABNDINFO-REC
       MOVE EIBRESP    TO ABND-RESPCODE
       MOVE EIBRESP2   TO ABND-RESP2CODE</t>
  </si>
  <si>
    <t>Montagem de ABEND que compõe a consequência do IF de mesma conta (XFRFUN-003); a regra de negócio está registrada na 003. Montagem padrão das informações de ABEND (INITIALIZE ABNDINFO-REC; MOVE EIBRESP/EIBRESP2); tratamento técnico sem semântica bancária.</t>
  </si>
  <si>
    <t>XFRFUN-005</t>
  </si>
  <si>
    <t>328</t>
  </si>
  <si>
    <t>330-378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</si>
  <si>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t>
  </si>
  <si>
    <t>Coleta de informações complementares de ABEND (PERFORM POPULATE-TIME-DATE, LINK ao tratador de ABEND, ABEND); tratamento técnico sem semântica bancária. O IF da linha 378, no fim do trecho, é o cabeçalho da regra de ordem de atualização (XFRFUN-006); o tipo 'Decisão e falha' vem dele.</t>
  </si>
  <si>
    <t>XFRFUN-006</t>
  </si>
  <si>
    <t>380-381</t>
  </si>
  <si>
    <t>378; 383-384</t>
  </si>
  <si>
    <t>If the FROM account number is less than the TO account number</t>
  </si>
  <si>
    <t>[cab.]     IF COMM-FACCNO &lt; COMM-TACCNO
       MOVE COMM-FACCNO TO DESIRED-ACC-NO
       MOVE COMM-FSCODE TO DESIRED-SORT-CODE</t>
  </si>
  <si>
    <t>IF (cabeçalho)</t>
  </si>
  <si>
    <t>decisão no cabeçalho anterior ao comentário (linha 378)</t>
  </si>
  <si>
    <t>Se o número da conta de origem for menor que o número da conta de destino, a conta de origem é a primeira a ser atualizada.</t>
  </si>
  <si>
    <t>a discutir</t>
  </si>
  <si>
    <t>[Rascunho] O IF da linha 378 vem antes do comentário e aparece como [cab.]. O comentário e o código só selecionam a conta de origem (MOVE para DESIRED-ACC-NO); a atualização está nas linhas seguintes (XFRFUN-007 e 008). Nenhum comentário do fonte explica por que a ordem depende do número da conta. O programa trata deadlock do DB2 com retentativas (DB2-DEADLOCK-RETRY), o que sugere controle de concorrência, mas isso é inferência. Decidir com o orientador se é regra de negócio ou infraestrutura.</t>
  </si>
  <si>
    <t>XFRFUN-008</t>
  </si>
  <si>
    <t>392</t>
  </si>
  <si>
    <t>394-398</t>
  </si>
  <si>
    <t>If the update was successful, update the TO account</t>
  </si>
  <si>
    <t xml:space="preserve">       IF COMM-SUCCESS = 'Y'
          MOVE COMM-TACCNO TO DESIRED-ACC-NO
          MOVE COMM-TSCODE TO DESIRED-SORT-CODE
          PERFORM UPDATE-ACCOUNT-DB2-TO</t>
  </si>
  <si>
    <t>Se a atualização da conta de origem for bem-sucedida, a conta de destino é atualizada.</t>
  </si>
  <si>
    <t>[Rascunho] Ramo em que o número da conta de origem é menor que o da conta de destino (XFRFUN-006, Descartados). A ordem por número de conta é aspecto técnico e fica fora da regra. Estrutura espelhada na XFRFUN-019 (ordem inversa). Falhas seguem para rollback/ABEND (XFRFUN-009 a 015).</t>
  </si>
  <si>
    <t>XFRFUN-009</t>
  </si>
  <si>
    <t>401-402</t>
  </si>
  <si>
    <t>404-413</t>
  </si>
  <si>
    <t>If the update to the TO account was unsuccessful then we need to flag it and roll it back</t>
  </si>
  <si>
    <t xml:space="preserve">          IF COMM-SUCCESS = 'N'
             IF COMM-FAIL-CODE = '2'
                EXEC CICS SYNCPOINT
                   ROLLBACK
                   RESP(WS-CICS-RESP)
                   RESP2(WS-CICS-RESP2)
                END-EXEC
                IF WS-CICS-RESP IS NOT EQUAL TO DFHRESP(NORMAL)</t>
  </si>
  <si>
    <t>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</si>
  <si>
    <t>XFRFUN-010</t>
  </si>
  <si>
    <t>415-418</t>
  </si>
  <si>
    <t>420-422</t>
  </si>
  <si>
    <t xml:space="preserve">                   INITIALIZE ABNDINFO-REC
                   MOVE EIBRESP    TO ABND-RESPCODE
                   MOVE EIBRESP2   TO ABND-RESP2CODE</t>
  </si>
  <si>
    <t>XFRFUN-011</t>
  </si>
  <si>
    <t>424</t>
  </si>
  <si>
    <t>426-481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</si>
  <si>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t>
  </si>
  <si>
    <t>comentário curto; contém GO TO (desvio incondicional)</t>
  </si>
  <si>
    <t>Coleta de informações complementares de ABEND (PERFORM POPULATE-TIME-DATE, LINK ao tratador de ABEND, ABEND); tratamento técnico sem semântica bancária. Termina com GO TO UAD999; o ELSE da linha 481 é o cabeçalho do comentário seguinte.</t>
  </si>
  <si>
    <t>XFRFUN-012</t>
  </si>
  <si>
    <t>483-484</t>
  </si>
  <si>
    <t>486-496</t>
  </si>
  <si>
    <t>If the COMM-FLAG is anything else other than 2 then abend.</t>
  </si>
  <si>
    <t xml:space="preserve">                DISPLAY 'Error updating TO account'
                EXEC CICS ABEND
                   ABCODE('TO  ')
                   NODUMP
                END-EXEC
             END-IF
          END-IF
       ELSE</t>
  </si>
  <si>
    <t>ABEND 'TO' quando o código de falha da conta de destino não é '2'. O comentário cita COMM-FLAG, mas o código testa COMM-FAIL-CODE. Tratamento de ABEND.</t>
  </si>
  <si>
    <t>XFRFUN-013</t>
  </si>
  <si>
    <t>498-499</t>
  </si>
  <si>
    <t>501-507</t>
  </si>
  <si>
    <t>If the update to the FROM account was not successful rollback.</t>
  </si>
  <si>
    <t xml:space="preserve">          IF COMM-FAIL-CODE = '1'
             EXEC CICS SYNCPOINT
                ROLLBACK
                RESP(WS-CICS-RESP)
                RESP2(WS-CICS-RESP2)
             END-EXEC</t>
  </si>
  <si>
    <t>Rollback quando a atualização da conta de origem falha com código '1'. O comentário diz apenas 'not successful', mas o código testa COMM-FAIL-CODE = '1'. Infraestrutura transacional.</t>
  </si>
  <si>
    <t>XFRFUN-014</t>
  </si>
  <si>
    <t>510</t>
  </si>
  <si>
    <t>512-526</t>
  </si>
  <si>
    <t>If the ROLLback failed</t>
  </si>
  <si>
    <t xml:space="preserve">             IF WS-CICS-RESP IS NOT EQUAL TO DFHRESP(NORMAL)
                DISPLAY 'XFRFUN error syncpoint '
                   ' rollback after '
                   'updating FROM account '
                   ',RESP=' WS-CICS-RESP
                   ',RESP2=' WS-CICS-RESP2
                EXEC CICS ABEND
                   ABCODE('HROL')
                   NODUMP
                END-EXEC
             END-IF
             GO TO UAD999
          ELSE</t>
  </si>
  <si>
    <t>Falha do rollback após atualizar a conta de origem: DISPLAY e ABEND 'HROL'; infraestrutura.</t>
  </si>
  <si>
    <t>XFRFUN-015</t>
  </si>
  <si>
    <t>528-531</t>
  </si>
  <si>
    <t>533-535</t>
  </si>
  <si>
    <t>XFRFUN-016</t>
  </si>
  <si>
    <t>537</t>
  </si>
  <si>
    <t>539-589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</si>
  <si>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t>
  </si>
  <si>
    <t>Coleta de informações complementares de ABEND (PERFORM POPULATE-TIME-DATE, LINK ao tratador de ABEND, ABEND); tratamento técnico sem semântica bancária. O ELSE da linha 589, no fim do trecho, é o cabeçalho da XFRFUN-017.</t>
  </si>
  <si>
    <t>XFRFUN-017</t>
  </si>
  <si>
    <t>591-592</t>
  </si>
  <si>
    <t>589; 594-595</t>
  </si>
  <si>
    <t>The FROM account number is greater than the TO account number</t>
  </si>
  <si>
    <t>[cab.]     ELSE
       MOVE COMM-TACCNO TO DESIRED-ACC-NO
       MOVE COMM-TSCODE TO DESIRED-SORT-CODE</t>
  </si>
  <si>
    <t>decisão no cabeçalho anterior ao comentário (linha 589)</t>
  </si>
  <si>
    <t>Se o número da conta de origem for maior que o número da conta de destino, a conta de destino é a primeira a ser atualizada.</t>
  </si>
  <si>
    <t>[Rascunho] O ELSE da linha 589 vem antes do comentário e aparece como [cab.]. O comentário diz 'maior que', mas o código é um ELSE de 'FROM &lt; TO', que também cobre número de conta igual com sort code diferente (a checagem de contas iguais, linhas 316-317, usa número e sort code): possível divergência comentário x código para o anexo. Mesma dúvida de categoria da XFRFUN-006.</t>
  </si>
  <si>
    <t>XFRFUN-019</t>
  </si>
  <si>
    <t>603-604</t>
  </si>
  <si>
    <t>606-610</t>
  </si>
  <si>
    <t>If the update to the TO account was successful then update the FROM account</t>
  </si>
  <si>
    <t xml:space="preserve">       IF COMM-SUCCESS = 'Y'
          MOVE COMM-FACCNO TO DESIRED-ACC-NO
          MOVE COMM-FSCODE TO DESIRED-SORT-CODE
          PERFORM UPDATE-ACCOUNT-DB2-FROM</t>
  </si>
  <si>
    <t>Se a atualização da conta de destino for bem-sucedida, a conta de origem é atualizada.</t>
  </si>
  <si>
    <t>[Rascunho] Ramo em que o número da conta de origem é maior que o da conta de destino (ordem inversa da XFRFUN-008). A ordem por número de conta é aspecto técnico e fica fora da regra.</t>
  </si>
  <si>
    <t>XFRFUN-020</t>
  </si>
  <si>
    <t>613</t>
  </si>
  <si>
    <t>615-617</t>
  </si>
  <si>
    <t>Did the update to the FROM account work?</t>
  </si>
  <si>
    <t xml:space="preserve">          IF COMM-SUCCESS = 'N'
             IF COMM-FAIL-CODE NOT = '1'</t>
  </si>
  <si>
    <t>Se a atualização da conta de origem falhar (COMM-SUCCESS = 'N') com código diferente de '1', ABEND 'FROM'; com código '1', rollback (XFRFUN-023, Descartados). Fluxo de ABEND/rollback.</t>
  </si>
  <si>
    <t>XFRFUN-021</t>
  </si>
  <si>
    <t>619-622</t>
  </si>
  <si>
    <t>624-626</t>
  </si>
  <si>
    <t xml:space="preserve">                INITIALIZE ABNDINFO-REC
                MOVE EIBRESP    TO ABND-RESPCODE
                MOVE EIBRESP2   TO ABND-RESP2CODE</t>
  </si>
  <si>
    <t>XFRFUN-022</t>
  </si>
  <si>
    <t>628</t>
  </si>
  <si>
    <t>630-675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</si>
  <si>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t>
  </si>
  <si>
    <t>Coleta de informações complementares de ABEND (PERFORM POPULATE-TIME-DATE, LINK ao tratador de ABEND, ABEND); tratamento técnico sem semântica bancária. O ELSE da linha 675, no fim do trecho, é o cabeçalho da XFRFUN-023.</t>
  </si>
  <si>
    <t>XFRFUN-023</t>
  </si>
  <si>
    <t>677</t>
  </si>
  <si>
    <t>675; 679-683</t>
  </si>
  <si>
    <t>If the FAIL code is something else</t>
  </si>
  <si>
    <t>[cab.]              ELSE
                EXEC CICS SYNCPOINT
                   ROLLBACK
                   RESP(WS-CICS-RESP)
                   RESP2(WS-CICS-RESP2)
                END-EXEC</t>
  </si>
  <si>
    <t>decisão no cabeçalho anterior ao comentário (linha 675)</t>
  </si>
  <si>
    <t>O ELSE da linha 675 vem antes do comentário e aparece como [cab.]. Rollback da transação (EXEC CICS SYNCPOINT ROLLBACK) quando o código de falha é diferente do tratado no ramo anterior; infraestrutura, no mesmo critério do rollback do DBCRFUN-012 e 013.</t>
  </si>
  <si>
    <t>XFRFUN-024</t>
  </si>
  <si>
    <t>685</t>
  </si>
  <si>
    <t>687</t>
  </si>
  <si>
    <t>If that rollback didn't work</t>
  </si>
  <si>
    <t xml:space="preserve">                IF WS-CICS-RESP IS NOT EQUAL TO DFHRESP(NORMAL)</t>
  </si>
  <si>
    <t>Verificação do RESP do rollback executado após falha na conta de origem; infraestrutura transacional.</t>
  </si>
  <si>
    <t>XFRFUN-025</t>
  </si>
  <si>
    <t>689-692</t>
  </si>
  <si>
    <t>694-696</t>
  </si>
  <si>
    <t>XFRFUN-026</t>
  </si>
  <si>
    <t>698</t>
  </si>
  <si>
    <t>700-760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</si>
  <si>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t>
  </si>
  <si>
    <t>Coleta de informações complementares de ABEND (PERFORM POPULATE-TIME-DATE, LINK ao tratador de ABEND, ABEND); tratamento técnico sem semântica bancária. Termina com GO TO UAD999; o ELSE da linha 760 é o cabeçalho do comentário seguinte.</t>
  </si>
  <si>
    <t>XFRFUN-027</t>
  </si>
  <si>
    <t>763-764</t>
  </si>
  <si>
    <t>766</t>
  </si>
  <si>
    <t>If the update to the TO account was NOT successful &amp; the fail code isn't = '2'</t>
  </si>
  <si>
    <t xml:space="preserve">          IF COMM-FAIL-CODE NOT = '2'</t>
  </si>
  <si>
    <t>Se a atualização da conta de destino falhar com código diferente de '2', ABEND (XFRFUN-028 a 030); fluxo de ABEND.</t>
  </si>
  <si>
    <t>XFRFUN-028</t>
  </si>
  <si>
    <t>768-771</t>
  </si>
  <si>
    <t>773-775</t>
  </si>
  <si>
    <t>XFRFUN-029</t>
  </si>
  <si>
    <t>777</t>
  </si>
  <si>
    <t>779-832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</si>
  <si>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IF WS-CICS-RESP IS NOT EQUAL TO DFHRESP(NORMAL)</t>
  </si>
  <si>
    <t>Coleta de informações complementares de ABEND (PERFORM POPULATE-TIME-DATE, LINK ao tratador de ABEND, ABEND); tratamento técnico sem semântica bancária. Inclui SYNCPOINT ROLLBACK (linhas 826-827). O IF da linha 832, no fim do trecho, é cabeçalho do comentário seguinte e é ele que dá o tipo 'Decisão e falha'.</t>
  </si>
  <si>
    <t>XFRFUN-030</t>
  </si>
  <si>
    <t>834-837</t>
  </si>
  <si>
    <t>839-841</t>
  </si>
  <si>
    <t>XFRFUN-031</t>
  </si>
  <si>
    <t>843</t>
  </si>
  <si>
    <t>845-904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</si>
  <si>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'updating TO account '
                    ',RESP=' WS-CICS-RESP
                    ',RESP2=' WS-CICS-RESP2
                EXEC CICS ABEND
                   ABCODE('HROL')
                   NODUMP
                   CANCEL
                END-EXEC
             END-IF
             GO TO UAD999
          END-IF
       END-IF
    END-IF.</t>
  </si>
  <si>
    <t>Coleta de informações complementares de ABEND (PERFORM POPULATE-TIME-DATE, LINK ao tratador de ABEND, ABEND); tratamento técnico sem semântica bancária. Contém GO TO UAD999 (linha 898).</t>
  </si>
  <si>
    <t>XFRFUN-034</t>
  </si>
  <si>
    <t>961-962</t>
  </si>
  <si>
    <t>964-971</t>
  </si>
  <si>
    <t>Check that select was successful. If it wasn't then set the COMMAREA return flags accordingly.</t>
  </si>
  <si>
    <t xml:space="preserve">    IF SQLCODE NOT = 0
       MOVE 'N' TO COMM-SUCCESS
       IF SQLCODE = +100
          MOVE '1' TO COMM-FAIL-CODE
       ELSE
          MOVE '3' TO COMM-FAIL-CODE
       END-IF</t>
  </si>
  <si>
    <t>1. Se a conta de origem não for encontrada (SQLCODE igual a +100), a operação é sinalizada como malsucedida com o código de falha '1'.
2. Se a leitura da conta de origem falhar por motivo diferente de conta não encontrada, a operação é sinalizada como malsucedida com o código de falha '3'.</t>
  </si>
  <si>
    <t>[Rascunho] Mesmo desenho da DBCRFUN-005. O código '1' vira mensagem 'FROM ACCOUNT no was not found' (BNK1TFN-026); o '3' é falha técnica ('unexpected error'): a regra 2 pode ser 'a discutir'. O trecho termina antes do storm drain (XFRFUN-035, Descartados).</t>
  </si>
  <si>
    <t>XFRFUN-037</t>
  </si>
  <si>
    <t>1011-1012</t>
  </si>
  <si>
    <t>1014-1017</t>
  </si>
  <si>
    <t>If the RESP CODE was NOT OK then we need to indicate a failure</t>
  </si>
  <si>
    <t xml:space="preserve">    IF SQLCODE NOT = 0
       MOVE 'N' TO COMM-SUCCESS
       MOVE '3' TO COMM-FAIL-CODE</t>
  </si>
  <si>
    <t>Se a atualização da conta de origem falhar (SQLCODE diferente de zero), a operação é sinalizada como malsucedida com o código de falha '3'.</t>
  </si>
  <si>
    <t>[Rascunho] Falha técnica de DB2 na atualização, tratada em conjunto com o código '3' da XFRFUN-034. O trecho termina antes do storm drain (XFRFUN-038, Descartados).</t>
  </si>
  <si>
    <t>XFRFUN-041</t>
  </si>
  <si>
    <t>1088-1089</t>
  </si>
  <si>
    <t>1091-1092</t>
  </si>
  <si>
    <t>Check that SELECT was successful. If it wasn't then set the return flags accordingly.</t>
  </si>
  <si>
    <t xml:space="preserve">    IF SQLCODE NOT = 0
       MOVE 'N' TO COMM-SUCCESS</t>
  </si>
  <si>
    <t>Se a leitura da conta de destino não for bem-sucedida (SQLCODE diferente de zero), a operação é sinalizada como malsucedida.</t>
  </si>
  <si>
    <t>[Rascunho] As consequências específicas estão nas XFRFUN-043 (código '2') e 046 (código '3'); esta regra pode ser absorvida por elas para evitar redundância (decisão do revisor).</t>
  </si>
  <si>
    <t>XFRFUN-043</t>
  </si>
  <si>
    <t>1100</t>
  </si>
  <si>
    <t>1102-1116</t>
  </si>
  <si>
    <t>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</si>
  <si>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</si>
  <si>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Se a conta de destino não for encontrada (SQLCODE igual a +100), a operação é sinalizada como malsucedida com o código de falha '2'.</t>
  </si>
  <si>
    <t>[Rascunho] O trecho inclui DISPLAY e rollback ('to avoid data inconsistency'), tratados como infraestrutura e fora da regra. O código '2' vira a mensagem 'TO ACCOUNT no was not found' (BNK1TFN-026).</t>
  </si>
  <si>
    <t>XFRFUN-044</t>
  </si>
  <si>
    <t>1118-1121</t>
  </si>
  <si>
    <t>1123-1125</t>
  </si>
  <si>
    <t>XFRFUN-045</t>
  </si>
  <si>
    <t>1127</t>
  </si>
  <si>
    <t>1129-1183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</si>
  <si>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'failing to read TO account '
                    ',RESP=' WS-CICS-RESP
                    ',RESP2=' WS-CICS-RESP2
             EXEC CICS ABEND
                ABCODE('HROL')
                NODUMP
                CANCEL
             END-EXEC
          END-IF
          GO TO UADT999
       ELSE</t>
  </si>
  <si>
    <t>Coleta de informações complementares de ABEND (PERFORM POPULATE-TIME-DATE, LINK ao tratador de ABEND, ABEND); tratamento técnico sem semântica bancária. Contém GO TO UADT999 (linha 1181); o ELSE da linha 1183 é o cabeçalho do comentário seguinte.</t>
  </si>
  <si>
    <t>XFRFUN-046</t>
  </si>
  <si>
    <t>1185-1186</t>
  </si>
  <si>
    <t>1188-1211</t>
  </si>
  <si>
    <t>If the failure isn't down to the row NOT being found (it failed for some other reason)</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</si>
  <si>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</si>
  <si>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Se a leitura da conta de destino falhar por motivo diferente de conta não encontrada, a operação é sinalizada como malsucedida com o código de falha '3'.</t>
  </si>
  <si>
    <t>[Rascunho] Falha técnica de DB2. O restante do trecho (tratamento de deadlock -911 com nova tentativa, rollback e ABEND) é infraestrutura. Trecho com 24 linhas: conferir o final no fonte.</t>
  </si>
  <si>
    <t>XFRFUN-047</t>
  </si>
  <si>
    <t>1214-1217</t>
  </si>
  <si>
    <t>1219-1221</t>
  </si>
  <si>
    <t>Preserve the RESP and RESP2, then set up the standard ABEND info before getting the applid, date/time etc. and link to the Abend Handler program.</t>
  </si>
  <si>
    <t xml:space="preserve">                      INITIALIZE ABNDINFO-REC
                      MOVE EIBRESP    TO ABND-RESPCODE
                      MOVE EIBRESP2   TO ABND-RESP2CODE</t>
  </si>
  <si>
    <t>XFRFUN-048</t>
  </si>
  <si>
    <t>1223</t>
  </si>
  <si>
    <t>1225-1290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</si>
  <si>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EXEC CICS DELAY FOR SECONDS(1)
                   END-EXEC
                   GO TO UPDATE-ACCOUNT-DB2
                END-IF
             END-IF
             IF SQLERRD(3) = 13172894
                DISPLAY 'TIMEOUT DETECTED!'
             END-IF</t>
  </si>
  <si>
    <t>Coleta de informações complementares de ABEND (PERFORM POPULATE-TIME-DATE, LINK ao tratador de ABEND, ABEND); tratamento técnico sem semântica bancária. Inclui, após o rollback, ABEND com código 'HROL' se ele falhar, espera de 1 segundo e GO TO UPDATE-ACCOUNT-DB2 (retentativa), além do IF SQLERRD(3) = 13172894 com DISPLAY 'TIMEOUT DETECTED!' (linha 1288): tratamento técnico de deadlock e timeout do DB2.</t>
  </si>
  <si>
    <t>XFRFUN-049</t>
  </si>
  <si>
    <t>1293-1296</t>
  </si>
  <si>
    <t>1298-1300</t>
  </si>
  <si>
    <t>XFRFUN-050</t>
  </si>
  <si>
    <t>1302</t>
  </si>
  <si>
    <t>1304-1350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</si>
  <si>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
             END-EXEC
             EXEC CICS ABEND
                ABCODE('RUF2')
             END-EXEC
       END-IF
    END-IF.</t>
  </si>
  <si>
    <t>Coleta de informações complementares de ABEND (ASSIGN APPLID, data e hora, LINK ao tratador de ABEND); tratamento técnico sem semântica bancária. Inclui IF sobre SQLERRD(3) para mensagem de timeout.</t>
  </si>
  <si>
    <t>XFRFUN-052</t>
  </si>
  <si>
    <t>1382</t>
  </si>
  <si>
    <t>1384-1389</t>
  </si>
  <si>
    <t>If the RESP CODE was NOT OK then we need to abend</t>
  </si>
  <si>
    <t xml:space="preserve">    IF SQLCODE NOT = 0
       MOVE SQLCODE TO SQLCODE-DISPLAY
       DISPLAY 'UNABLE TO UPDATE TO ACCOUNT.'
          HV-ACCOUNT-SORTCODE HV-ACCOUNT-ACC-NO
          'THE SQLCODE=' SQLCODE-DISPLAY
          ' SQLERRD(3) ' SQLERRD(3)</t>
  </si>
  <si>
    <t>Falha na atualização da conta de destino (SQLCODE diferente de zero): exibe diagnóstico e leva a ABEND; tratamento técnico de DB2.</t>
  </si>
  <si>
    <t>XFRFUN-053</t>
  </si>
  <si>
    <t>1392-1393</t>
  </si>
  <si>
    <t>1395-1409</t>
  </si>
  <si>
    <t>Check if SQLCODE indicates that Storm Drain processing is applicable in a workload if activated</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</si>
  <si>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</si>
  <si>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Detecção de deadlock (SQLCODE -911) com nova tentativa limitada (DB2-DEADLOCK-RETRY &lt; 6) e rollback; verificação de storm drain. Política de reexecução técnica; infraestrutura.</t>
  </si>
  <si>
    <t>XFRFUN-054</t>
  </si>
  <si>
    <t>1412-1415</t>
  </si>
  <si>
    <t>1417-1419</t>
  </si>
  <si>
    <t>XFRFUN-055</t>
  </si>
  <si>
    <t>1421</t>
  </si>
  <si>
    <t>1423-1490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</si>
  <si>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 after updating TO account '
                      ',RESP=' WS-CICS-RESP
                      ',RESP2=' WS-CICS-RESP2
                   EXEC CICS ABEND
                      ABCODE('HROL')
                      NODUMP
                      CANCEL
                   END-EXEC
                END-IF
                EXEC CICS DELAY FOR SECONDS(1)
                END-EXEC
                GO TO UPDATE-ACCOUNT-DB2
             END-IF
          END-IF
          IF SQLERRD(3) = 13172872
             DISPLAY 'TIMEOUT DETECTED!'
          END-IF
       END-IF</t>
  </si>
  <si>
    <t>Coleta de informações complementares de ABEND (PERFORM POPULATE-TIME-DATE, LINK ao tratador de ABEND, ABEND); tratamento técnico sem semântica bancária. Mesmo padrão da XFRFUN-048: retentativa do UPDATE (GO TO UPDATE-ACCOUNT-DB2, linha 1479) e IF SQLERRD(3) = 13172872 (linha 1485); tratamento técnico de deadlock e timeout do DB2.</t>
  </si>
  <si>
    <t>XFRFUN-056</t>
  </si>
  <si>
    <t>1493-1496</t>
  </si>
  <si>
    <t>1498-1500</t>
  </si>
  <si>
    <t>XFRFUN-057</t>
  </si>
  <si>
    <t>1502</t>
  </si>
  <si>
    <t>1504-1549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</si>
  <si>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
       END-EXEC
       EXEC CICS
          ABEND ABCODE ('RUF3')
       END-EXEC
    END-IF.</t>
  </si>
  <si>
    <t>XFRFUN-061</t>
  </si>
  <si>
    <t>1644</t>
  </si>
  <si>
    <t>1646-1648</t>
  </si>
  <si>
    <t xml:space="preserve">    IF SQLCODE NOT = 0
       MOVE SQLCODE TO WS-SQLCODE-DISP</t>
  </si>
  <si>
    <t>Falha na gravação em PROCTRAN (SQLCODE diferente de zero): converte SQLCODE para exibição; segue para storm drain e ABEND 'WPCD' (XFRFUN-064). Tratamento técnico.</t>
  </si>
  <si>
    <t>XFRFUN-062</t>
  </si>
  <si>
    <t>1650-1653</t>
  </si>
  <si>
    <t>1655-1657</t>
  </si>
  <si>
    <t>XFRFUN-063</t>
  </si>
  <si>
    <t>1659</t>
  </si>
  <si>
    <t>1661-1708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</si>
  <si>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
             INTO ABND-FREEFORM
       END-STRING
       EXEC CICS LINK PROGRAM(WS-ABEND-PGM)
                 COMMAREA(ABNDINFO-REC)
       END-EXEC
       DISPLAY 'UNABLE TO WRITE TO PROCTRAN DB2 DATASTORE'
       ' SQLCODE=' SQLCODE
       'WITH THE FOLLOWING DATA:' HOST-PROCTRAN-ROW
       DISPLAY 'DATA INCONSISTENCY, DATA UPDATED ON ACCOUNT'</t>
  </si>
  <si>
    <t>Coleta de informações complementares de ABEND (PERFORM POPULATE-TIME-DATE, LINK ao tratador de ABEND, ABEND); tratamento técnico sem semântica bancária. SQLCODE aparece apenas na mensagem de ABEND.</t>
  </si>
  <si>
    <t>XFRFUN-064</t>
  </si>
  <si>
    <t>1711-1712</t>
  </si>
  <si>
    <t>1714-1738</t>
  </si>
  <si>
    <t xml:space="preserve">       PERFORM CHECK-FOR-STORM-DRAIN-DB2
       EXEC CICS ABEND
          ABCODE('WPCD')
       END-EXEC
    END-IF.
WTPD999.
    EXIT.
GET-ME-OUT-OF-HERE SECTION.
GMOOH010.
    EXEC CICS RETURN
    END-EXEC.
    GOBACK.
GMOOH999.
    EXIT.
CHECK-FOR-STORM-DRAIN-DB2 SECTION.
CFSDD010.</t>
  </si>
  <si>
    <t>Verificação de storm drain e ABEND 'WPCD' após falha na gravação em PROCTRAN. O trecho atravessa seções (WRITE-TO-PROCTRAN-DB2, GET-ME-OUT-OF-HERE, CHECK-FOR-STORM-DRAIN-DB2): efeito de corte do extrator. Infraestrutura.</t>
  </si>
  <si>
    <t>XFRFUN-065</t>
  </si>
  <si>
    <t>1741-1742</t>
  </si>
  <si>
    <t>1744-1770</t>
  </si>
  <si>
    <t>Check if the Sqlcode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</si>
  <si>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</si>
  <si>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XFRFUN-067</t>
  </si>
  <si>
    <t>1779-1784</t>
  </si>
  <si>
    <t>1786</t>
  </si>
  <si>
    <t>XFRFUN-068</t>
  </si>
  <si>
    <t>1789</t>
  </si>
  <si>
    <t>1791-1821</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</si>
  <si>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</si>
  <si>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Tratamento dos ABEND AD2Z (deadlock DB2) e AFCR/AFCS/AFCT (VSAM RLS, storm drain) com rollback; infraestrutura.</t>
  </si>
  <si>
    <t>XFRFUN-069</t>
  </si>
  <si>
    <t>1823-1826</t>
  </si>
  <si>
    <t>1828-1830</t>
  </si>
  <si>
    <t>XFRFUN-070</t>
  </si>
  <si>
    <t>1832</t>
  </si>
  <si>
    <t>1834-1924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</si>
  <si>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
             END-STRING
             EXEC CICS LINK PROGRAM(WS-ABEND-PGM)
                    COMMAREA(ABNDINFO-REC)
             END-EXEC
             DISPLAY 'XFRFUN: Unable to perform Syncpoint '
                'Rollback. Possible Integrity issue following '
                ' VSAM RLS abend RESP CODE='
                WS-CICS-RESP ' RESP2 CODE=' WS-CICS-RESP2
             EXEC CICS
                ABEND
                ABCODE ('HROL')
             END-EXEC
          END-IF
          MOVE 'N' TO COMM-SUCCESS
          MOVE '2' TO COMM-FAIL-CODE
          EXEC CICS RETURN
          END-EXEC
    END-EVALUATE.
    IF WS-STORM-DRAIN = 'N'
       EXEC CICS ABEND ABCODE( MY-ABEND-CODE)</t>
  </si>
  <si>
    <t>comentário curto; trecho truncado (exibidas 50 de 68 linhas)</t>
  </si>
  <si>
    <t>Coleta de informações complementares de ABEND (PERFORM POPULATE-TIME-DATE, LINK ao tratador de ABEND, ABEND); tratamento técnico sem semântica bancária. O trecho vai até o fim do programa e termina com IF WS-STORM-DRAIN = 'N' (linha 1897) seguido de ABEND com MY-ABEND-CODE: verificação de storm drain, infraestrutura pelo seu critério.</t>
  </si>
  <si>
    <t>BNK1CRA-001</t>
  </si>
  <si>
    <t>182-183</t>
  </si>
  <si>
    <t>185-189</t>
  </si>
  <si>
    <t>Is it the first time through? If so, send the map with erased (empty) data fields.</t>
  </si>
  <si>
    <t xml:space="preserve">       WHEN EIBCALEN = ZERO
          MOVE LOW-VALUE TO BNK1CDO
          MOVE -1 TO ACCNOL
          SET SEND-ERASE TO TRUE
          PERFORM SEND-MAP</t>
  </si>
  <si>
    <t>WHEN</t>
  </si>
  <si>
    <t>Se for a primeira execução da transação (EIBCALEN igual a zero), a tela é enviada com os campos vazios.</t>
  </si>
  <si>
    <t>[Rascunho] Regra de interface (fluxo de teclas e telas), não de domínio bancário; decidir a categoria com o orientador junto com as demais teclas de função (BNK1CRA-001 a 007 e BNK1TFN-001 a 007).</t>
  </si>
  <si>
    <t>BNK1CRA-002</t>
  </si>
  <si>
    <t>192</t>
  </si>
  <si>
    <t>194-195</t>
  </si>
  <si>
    <t>If a PA key is pressed, just carry on</t>
  </si>
  <si>
    <t xml:space="preserve">       WHEN EIBAID = DFHPA1 OR DFHPA2 OR DFHPA3
          CONTINUE</t>
  </si>
  <si>
    <t>Se uma tecla PA for pressionada (PA1, PA2 ou PA3), nenhuma ação é executada.</t>
  </si>
  <si>
    <t>BNK1CRA-003</t>
  </si>
  <si>
    <t>198</t>
  </si>
  <si>
    <t>200-206</t>
  </si>
  <si>
    <t>When Pf3 is pressed, return to the main menu</t>
  </si>
  <si>
    <t xml:space="preserve">       WHEN EIBAID = DFHPF3
          EXEC CICS RETURN
             TRANSID('OMEN')
             IMMEDIATE
             RESP(WS-CICS-RESP)
             RESP2(WS-CICS-RESP2)
          END-EXEC</t>
  </si>
  <si>
    <t>Se a tecla PF3 for pressionada, o usuário retorna ao menu principal (transação OMEN).</t>
  </si>
  <si>
    <t>BNK1CRA-004</t>
  </si>
  <si>
    <t>209-210</t>
  </si>
  <si>
    <t>212-217</t>
  </si>
  <si>
    <t>If the aid or Pf12 is pressed, then send a termination message.</t>
  </si>
  <si>
    <t xml:space="preserve">       WHEN EIBAID = DFHAID OR DFHPF12
          PERFORM SEND-TERMINATION-MSG
          EXEC CICS
             RETURN
          END-EXEC</t>
  </si>
  <si>
    <t>Se a tecla PF12 for pressionada, é enviada a mensagem de encerramento e a transação termina.</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</si>
  <si>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</si>
  <si>
    <t>BNK1CRA-005</t>
  </si>
  <si>
    <t>220</t>
  </si>
  <si>
    <t>222-229</t>
  </si>
  <si>
    <t>When CLEAR is pressed</t>
  </si>
  <si>
    <t xml:space="preserve">       WHEN EIBAID = DFHCLEAR
         EXEC CICS SEND CONTROL
                   ERASE
                   FREEKB
         END-EXEC
         EXEC CICS RETURN
         END-EXEC</t>
  </si>
  <si>
    <t>Se a tecla CLEAR for pressionada, a tela é limpa e a transação termina.</t>
  </si>
  <si>
    <t>BNK1CRA-006</t>
  </si>
  <si>
    <t>232</t>
  </si>
  <si>
    <t>234-235</t>
  </si>
  <si>
    <t>When enter is pressed then process the content</t>
  </si>
  <si>
    <t xml:space="preserve">       WHEN EIBAID = DFHENTER
          PERFORM PROCESS-MAP</t>
  </si>
  <si>
    <t>Se a tecla ENTER for pressionada, os dados informados são processados (PROCESS-MAP).</t>
  </si>
  <si>
    <t>[Rascunho] Regra de interface (fluxo de teclas e telas), não de domínio bancário; decidir a categoria com o orientador junto com as demais teclas de função (BNK1CRA-001 a 007 e BNK1TFN-001 a 007). É o gatilho do processamento de negócio; a regra em si está na BNK1CRA-013.</t>
  </si>
  <si>
    <t>BNK1CRA-007</t>
  </si>
  <si>
    <t>238</t>
  </si>
  <si>
    <t>240-247</t>
  </si>
  <si>
    <t>When anything else happens, send the invalid key message</t>
  </si>
  <si>
    <t xml:space="preserve">       WHEN OTHER
          MOVE LOW-VALUES TO BNK1CDO
          MOVE 'Invalid key pressed.' TO MESSAGEO
          MOVE 8 TO ACCNOL
          SET SEND-DATAONLY-ALARM TO TRUE
          PERFORM SEND-MAP
    END-EVALUATE.</t>
  </si>
  <si>
    <t>Se qualquer outra tecla for pressionada, é exibida a mensagem 'Invalid key pressed.' com alarme sonoro.</t>
  </si>
  <si>
    <t>[Rascunho] Regra de interface (fluxo de teclas e telas), não de domínio bancário; decidir a categoria com o orientador junto com as demais teclas de função (BNK1CRA-001 a 007 e BNK1TFN-001 a 007). O trecho termina em END-EVALUATE.</t>
  </si>
  <si>
    <t>BNK1CRA-008</t>
  </si>
  <si>
    <t>250-253</t>
  </si>
  <si>
    <t>255-271</t>
  </si>
  <si>
    <t>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</si>
  <si>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</si>
  <si>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Retorno pseudo-conversacional (RETURN TRANSID com COMMAREA) e verificação do RESP; controle de transação. A cópia dos dados para a COMMAREA só ocorre quando EIBCALEN é diferente de zero.</t>
  </si>
  <si>
    <t>BNK1CRA-009</t>
  </si>
  <si>
    <t>273-276</t>
  </si>
  <si>
    <t>278-280</t>
  </si>
  <si>
    <t>BNK1CRA-013</t>
  </si>
  <si>
    <t>347-348</t>
  </si>
  <si>
    <t>350-354</t>
  </si>
  <si>
    <t>If the data passes validation go on to apply the debit or credit.</t>
  </si>
  <si>
    <t xml:space="preserve">    IF VALID-DATA
       PERFORM UPD-CRED-DATA
    END-IF.
    SET SEND-DATAONLY-ALARM TO TRUE.</t>
  </si>
  <si>
    <t>Se os dados informados passarem na validação (VALID-DATA), o débito ou crédito é aplicado à conta (UPD-CRED-DATA).</t>
  </si>
  <si>
    <t>[Rascunho] O SET SEND-DATAONLY-ALARM executado em seguida é procedural e fica fora da regra.</t>
  </si>
  <si>
    <t>BNK1CRA-015</t>
  </si>
  <si>
    <t>368</t>
  </si>
  <si>
    <t>370-378</t>
  </si>
  <si>
    <t>Retrieve the data</t>
  </si>
  <si>
    <t xml:space="preserve">    EXEC CICS
       RECEIVE MAP('BNK1CD')
       MAPSET('BNK1CDM')
       INTO(BNK1CDI)
       RESP(WS-CICS-RESP)
       RESP2(WS-CICS-RESP2)
    END-EXEC.
    IF WS-CICS-RESP NOT = DFHRESP(NORMAL)</t>
  </si>
  <si>
    <t>Recebimento dos dados da tela (RECEIVE MAP) e verificação do RESP; infraestrutura de interface.</t>
  </si>
  <si>
    <t>BNK1CRA-016</t>
  </si>
  <si>
    <t>380-383</t>
  </si>
  <si>
    <t>385-387</t>
  </si>
  <si>
    <t>BNK1CRA-018</t>
  </si>
  <si>
    <t>444</t>
  </si>
  <si>
    <t>446-469</t>
  </si>
  <si>
    <t>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</si>
  <si>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</si>
  <si>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1. Se o número da conta informado não for numérico, a entrada é considerada inválida e é exibida a mensagem 'Please enter an account number.'
2. Se o número da conta informado for zero, a entrada é considerada inválida e é exibida a mensagem 'Please enter a non zero account number.'
3. Se um sinal for informado e não for '+' nem '-', a entrada é considerada inválida e é exibida a mensagem 'Please enter + or - preceding the amount.'</t>
  </si>
  <si>
    <t>[Rascunho] Linha vale por três regras. A condição do sinal é SIGNI diferente de '+' e de '-' com SIGNL = 1 (campo de sinal preenchido): conferir no fonte (linhas 440-469).</t>
  </si>
  <si>
    <t>BNK1CRA-021</t>
  </si>
  <si>
    <t>492</t>
  </si>
  <si>
    <t>494-498</t>
  </si>
  <si>
    <t>Provide the correct Amount</t>
  </si>
  <si>
    <t xml:space="preserve">    IF SIGNI = '-'
       COMPUTE WS-AMOUNT-AS-FLOAT = WS-AMOUNT-AS-FLOAT * -1
    END-IF.
    MOVE WS-AMOUNT-AS-FLOAT TO SUBPGM-AMT.</t>
  </si>
  <si>
    <t>Se o sinal informado for '-', o valor da operação é convertido para negativo (débito).</t>
  </si>
  <si>
    <t>[Rascunho] Sem ELSE: sinal '+' mantém o valor positivo (crédito). O valor convertido segue para o DBCRFUN (SUBPGM-AMT).</t>
  </si>
  <si>
    <t>BNK1CRA-022</t>
  </si>
  <si>
    <t>501</t>
  </si>
  <si>
    <t>503-519</t>
  </si>
  <si>
    <t>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</si>
  <si>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</si>
  <si>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Obtenção dos dados de origem (INQUIRE ASSOCIATION) e LINK ao DBCRFUN com verificação do RESP. O COMM-FACILTYPE obtido aqui alimenta a regra de pagamento (496) do DBCRFUN-008.</t>
  </si>
  <si>
    <t>BNK1CRA-023</t>
  </si>
  <si>
    <t>521-524</t>
  </si>
  <si>
    <t>526-528</t>
  </si>
  <si>
    <t>BNK1CRA-025</t>
  </si>
  <si>
    <t>579</t>
  </si>
  <si>
    <t>581-626</t>
  </si>
  <si>
    <t>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</si>
  <si>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
                    SUBPGM-FAIL-CODE
                    DELIMITED BY SIZE
                    INTO MESSAGEO
             GO TO UCD999
       END-EVALUATE
    ELSE
       MOVE SPACES TO MESSAGEO
       MOVE 'Amount successfully applied to the account.' TO
          MESSAGEO
    END-IF.</t>
  </si>
  <si>
    <t>IF, EVALUATE, WHEN</t>
  </si>
  <si>
    <t>1. Se o débito ou crédito não for bem-sucedido e o código de falha for '1', é exibida a mensagem de conta não encontrada e valor não aplicado.
2. Se o débito ou crédito não for bem-sucedido e o código de falha for '2', é exibida a mensagem de erro inesperado.
3. Se o débito ou crédito não for bem-sucedido e o código de falha for '3', é exibida a mensagem de saldo insuficiente.
4. Se o débito ou crédito não for bem-sucedido e o código de falha for outro, é exibida a mensagem de erro inesperado acompanhada do código.
5. Se o débito ou crédito for bem-sucedido, é exibida a mensagem 'Amount successfully applied to the account.'</t>
  </si>
  <si>
    <t>[Rascunho] Não há WHEN '4': a negação de pagamento em conta MORTGAGE/LOAN (DBCRFUN, código '4') cai em WHEN OTHER e aparece ao usuário como erro inesperado com o código. A regra 5 vem do ELSE, que agora aparece no fim do trecho. Linha vale por cinco regras; avaliar se divide em entradas.</t>
  </si>
  <si>
    <t>BNK1CRA-027</t>
  </si>
  <si>
    <t>646</t>
  </si>
  <si>
    <t>648-657</t>
  </si>
  <si>
    <t>If the map needs to have its data erased</t>
  </si>
  <si>
    <t xml:space="preserve">    IF SEND-ERASE
       EXEC CICS SEND MAP('BNK1CD')
          MAPSET('BNK1CDM')
          FROM(BNK1CDO)
          ERASE
          RESP(WS-CICS-RESP)
          RESP2(WS-CICS-RESP2)
       END-EXEC
       IF WS-CICS-RESP NOT = DFHRESP(NORMAL)</t>
  </si>
  <si>
    <t>Envio da tela com apagamento (SEND MAP ... ERASE) e verificação do RESP; infraestrutura de interface.</t>
  </si>
  <si>
    <t>BNK1CRA-028</t>
  </si>
  <si>
    <t>659-662</t>
  </si>
  <si>
    <t>664-666</t>
  </si>
  <si>
    <t>BNK1CRA-030</t>
  </si>
  <si>
    <t>720</t>
  </si>
  <si>
    <t>722-731</t>
  </si>
  <si>
    <t>If the map just needs a resend of only the data</t>
  </si>
  <si>
    <t xml:space="preserve">    IF SEND-DATAONLY
       EXEC CICS SEND MAP('BNK1CD')
          MAPSET('BNK1CDM')
          FROM(BNK1CDO)
          DATAONLY
          RESP(WS-CICS-RESP)
          RESP2(WS-CICS-RESP2)
       END-EXEC
       IF WS-CICS-RESP NOT = DFHRESP(NORMAL)</t>
  </si>
  <si>
    <t>Reenvio apenas dos dados da tela (SEND MAP ... DATAONLY) e verificação do RESP; infraestrutura de interface.</t>
  </si>
  <si>
    <t>BNK1CRA-031</t>
  </si>
  <si>
    <t>733-736</t>
  </si>
  <si>
    <t>BNK1CRA-033</t>
  </si>
  <si>
    <t>794</t>
  </si>
  <si>
    <t>796-806</t>
  </si>
  <si>
    <t>If we have elected to send the map and a beep</t>
  </si>
  <si>
    <t xml:space="preserve">    IF SEND-DATAONLY-ALARM
       EXEC CICS SEND MAP('BNK1CD')
          MAPSET('BNK1CDM')
          FROM(BNK1CDO)
          DATAONLY
          ALARM
          RESP(WS-CICS-RESP)
          RESP2(WS-CICS-RESP2)
       END-EXEC
       IF WS-CICS-RESP NOT = DFHRESP(NORMAL)</t>
  </si>
  <si>
    <t>Envio da tela com alarme sonoro (SEND MAP ... ALARM) e verificação do RESP; infraestrutura de interface.</t>
  </si>
  <si>
    <t>BNK1CRA-034</t>
  </si>
  <si>
    <t>808-811</t>
  </si>
  <si>
    <t>813-815</t>
  </si>
  <si>
    <t>BNK1CRA-036</t>
  </si>
  <si>
    <t>874</t>
  </si>
  <si>
    <t>876-884</t>
  </si>
  <si>
    <t>Send the termination message</t>
  </si>
  <si>
    <t xml:space="preserve">    EXEC CICS SEND TEXT
       FROM(END-OF-SESSION-MESSAGE)
       ERASE
       FREEKB
       RESP(WS-CICS-RESP)
       RESP2(WS-CICS-RESP2)
    END-EXEC.
    IF WS-CICS-RESP NOT = DFHRESP(NORMAL)</t>
  </si>
  <si>
    <t>Envio da mensagem de encerramento (SEND TEXT) e verificação do RESP; infraestrutura de interface.</t>
  </si>
  <si>
    <t>BNK1CRA-037</t>
  </si>
  <si>
    <t>886-889</t>
  </si>
  <si>
    <t>891-893</t>
  </si>
  <si>
    <t>BNK1CRA-038</t>
  </si>
  <si>
    <t>895</t>
  </si>
  <si>
    <t>897-983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</si>
  <si>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'BNK1CRA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MOVE 0 TO WS-AMOUNT-AS-FLOAT.</t>
  </si>
  <si>
    <t>comentário curto; trecho truncado (exibidas 50 de 66 linhas); contém GO TO (desvio incondicional)</t>
  </si>
  <si>
    <t>Coleta de informações complementares de ABEND (PERFORM POPULATE-TIME-DATE, LINK ao tratador, PERFORM ABEND-THIS-TASK, ABEND); tratamento técnico sem semântica bancária. Exibidas 50 de 66 linhas: conferir no fonte o final do trecho (até a linha 983), onde está o GO TO apontado no alerta.</t>
  </si>
  <si>
    <t>BNK1CRA-039</t>
  </si>
  <si>
    <t>986</t>
  </si>
  <si>
    <t>988-1035</t>
  </si>
  <si>
    <t>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</si>
  <si>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t>
  </si>
  <si>
    <t>Se o campo de valor for composto inteiramente de espaços, a entrada é considerada inválida e é exibida a mensagem 'The Amount entered must be numeric.'</t>
  </si>
  <si>
    <t>[Rascunho] O restante do trecho (UNSTRING, contagem de caracteres) é procedural e já aparece completo.</t>
  </si>
  <si>
    <t>BNK1CRA-040</t>
  </si>
  <si>
    <t>1038-1042</t>
  </si>
  <si>
    <t>1044-1064</t>
  </si>
  <si>
    <t>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</si>
  <si>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</si>
  <si>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1. Se o valor informado contiver espaços embutidos, a entrada é considerada inválida e é exibida a mensagem 'Please supply a numeric amount without embedded spaces.'
2. Se o valor informado contiver caracteres diferentes de dígitos e ponto decimal, a entrada é considerada inválida e é exibida a mensagem 'Please supply a numeric amount.'</t>
  </si>
  <si>
    <t>[Rascunho] Linha vale por duas regras. Os caracteres aceitos (dígitos 0 a 9 e '.') são os contados no INSPECT que antecede o trecho.</t>
  </si>
  <si>
    <t>BNK1CRA-041</t>
  </si>
  <si>
    <t>1067</t>
  </si>
  <si>
    <t>1069-1083</t>
  </si>
  <si>
    <t>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</si>
  <si>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</si>
  <si>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Se o valor informado contiver mais de um ponto decimal, a entrada é considerada inválida e é exibida a mensagem 'Use one decimal point for amount only.'</t>
  </si>
  <si>
    <t>[Rascunho]</t>
  </si>
  <si>
    <t>BNK1CRA-042</t>
  </si>
  <si>
    <t>1086</t>
  </si>
  <si>
    <t>1088-1114</t>
  </si>
  <si>
    <t>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</si>
  <si>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</si>
  <si>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Se o valor informado tiver mais de duas casas decimais, a entrada é considerada inválida e é exibida a mensagem 'Only up to two decimal places are supported.'</t>
  </si>
  <si>
    <t>[Rascunho] A condição está nesta linha (dois IF aninhados); a mensagem e a consequência estão na BNK1CRA-043. Trecho de código extenso e repetitivo (INSPECT com contagem por dígito).</t>
  </si>
  <si>
    <t>BNK1CRA-043</t>
  </si>
  <si>
    <t>1116</t>
  </si>
  <si>
    <t>1118-1166</t>
  </si>
  <si>
    <t>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</si>
  <si>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
       ABSTIME(WS-U-TIME)
    END-EXEC.
    EXEC CICS FORMATTIME
              ABSTIME(WS-U-TIME)
              DDMMYYYY(WS-ORIG-DATE)
              TIME(WS-TIME-NOW)
              DATESEP
    END-EXEC.
PTD999.
    EXIT.</t>
  </si>
  <si>
    <t>Se o valor numérico informado for igual a zero, a entrada é considerada inválida e é exibida a mensagem 'Please supply a non-zero amount.'</t>
  </si>
  <si>
    <t>[Rascunho] As linhas iniciais (1118-1130) são a consequência da regra da BNK1CRA-042. O trecho também define a entrada como válida (VALID-DATA-SW = 'Y') quando todas as validações passam. O comentário 'There are two numerics' não descreve o que o código faz. O trecho avança até a SECTION POPULATE-TIME-DATE (linhas finais): o par vai até o próximo comentário, mesmo cruzando o limite de uma SECTION; essas linhas finais não fazem parte da regra.</t>
  </si>
  <si>
    <t>BNK1TFN-001</t>
  </si>
  <si>
    <t>180-181</t>
  </si>
  <si>
    <t>183-186</t>
  </si>
  <si>
    <t xml:space="preserve">       WHEN EIBCALEN = ZERO
          MOVE LOW-VALUE TO BNK1TFO
          SET SEND-ERASE TO TRUE
          PERFORM SEND-MAP</t>
  </si>
  <si>
    <t>BNK1TFN-002</t>
  </si>
  <si>
    <t>189</t>
  </si>
  <si>
    <t>191-192</t>
  </si>
  <si>
    <t>BNK1TFN-003</t>
  </si>
  <si>
    <t>195</t>
  </si>
  <si>
    <t>197-203</t>
  </si>
  <si>
    <t>BNK1TFN-004</t>
  </si>
  <si>
    <t>206-207</t>
  </si>
  <si>
    <t>209-213</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</si>
  <si>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</si>
  <si>
    <t>BNK1TFN-005</t>
  </si>
  <si>
    <t>216</t>
  </si>
  <si>
    <t>218-224</t>
  </si>
  <si>
    <t>BNK1TFN-006</t>
  </si>
  <si>
    <t>227</t>
  </si>
  <si>
    <t>229-230</t>
  </si>
  <si>
    <t>[Rascunho] Regra de interface (fluxo de teclas e telas), não de domínio bancário; decidir a categoria com o orientador junto com as demais teclas de função (BNK1CRA-001 a 007 e BNK1TFN-001 a 007). É o gatilho do processamento de negócio; a regra em si está na BNK1TFN-014.</t>
  </si>
  <si>
    <t>BNK1TFN-007</t>
  </si>
  <si>
    <t>233</t>
  </si>
  <si>
    <t>235-237</t>
  </si>
  <si>
    <t xml:space="preserve">       WHEN OTHER
          MOVE LOW-VALUES TO BNK1TFO
          MOVE 'Invalid key pressed.' TO MESSAGEO</t>
  </si>
  <si>
    <t>[Rascunho]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</si>
  <si>
    <t>BNK1TFN-009</t>
  </si>
  <si>
    <t>245</t>
  </si>
  <si>
    <t>247-255</t>
  </si>
  <si>
    <t>Now RETURN</t>
  </si>
  <si>
    <t xml:space="preserve">     EXEC CICS
        RETURN TRANSID('OTFN')
        COMMAREA(WS-COMMAREA)
        LENGTH(29)
        RESP(WS-CICS-RESP)
        RESP2(WS-CICS-RESP2)
     END-EXEC.
    IF WS-CICS-RESP NOT = DFHRESP(NORMAL)</t>
  </si>
  <si>
    <t>Retorno pseudo-conversacional (RETURN TRANSID com COMMAREA) e verificação do RESP; controle de transação.</t>
  </si>
  <si>
    <t>BNK1TFN-010</t>
  </si>
  <si>
    <t>257-260</t>
  </si>
  <si>
    <t>262-264</t>
  </si>
  <si>
    <t>BNK1TFN-014</t>
  </si>
  <si>
    <t>333-334</t>
  </si>
  <si>
    <t>336-340</t>
  </si>
  <si>
    <t>If the data passes validation go on to get an account</t>
  </si>
  <si>
    <t xml:space="preserve">    IF VALID-DATA
       PERFORM GET-ACC-DATA
    END-IF.
    SET SEND-DATAONLY-ALARM TO TRUE.</t>
  </si>
  <si>
    <t>Se os dados informados passarem na validação (VALID-DATA), a transferência é solicitada ao programa XFRFUN (GET-ACC-DATA).</t>
  </si>
  <si>
    <t>BNK1TFN-016</t>
  </si>
  <si>
    <t>354</t>
  </si>
  <si>
    <t>356-364</t>
  </si>
  <si>
    <t xml:space="preserve">    EXEC CICS
       RECEIVE MAP('BNK1TF')
       MAPSET('BNK1TFM')
       INTO(BNK1TFI)
       RESP(WS-CICS-RESP)
       RESP2(WS-CICS-RESP2)
    END-EXEC.
    IF WS-CICS-RESP NOT = DFHRESP(NORMAL)</t>
  </si>
  <si>
    <t>BNK1TFN-017</t>
  </si>
  <si>
    <t>366-369</t>
  </si>
  <si>
    <t>371-373</t>
  </si>
  <si>
    <t>BNK1TFN-019</t>
  </si>
  <si>
    <t>431</t>
  </si>
  <si>
    <t>433-467</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</si>
  <si>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</si>
  <si>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1. Se o número da conta de origem informado não for numérico, a entrada é considerada inválida e é exibida a mensagem 'Please enter a FROM account no'.
2. Se o número da conta de destino informado não for numérico, a entrada é considerada inválida e é exibida a mensagem 'Please enter a TO account no'.
3. Se as contas de origem e de destino informadas forem iguais, a entrada é considerada inválida e é exibida a mensagem 'The FROM &amp; TO account should be different'.
4. Se a conta de origem ou a de destino for 00000000, a entrada é considerada inválida e é exibida a mensagem 'Account no 00000000 is not valid'.</t>
  </si>
  <si>
    <t>[Rascunho] Linha vale por quatro regras. A restrição de contas iguais também existe no XFRFUN-003 (ABEND 'SAME'): a tela barra antes de chegar ao programa de negócio.</t>
  </si>
  <si>
    <t>BNK1TFN-022</t>
  </si>
  <si>
    <t>494-504</t>
  </si>
  <si>
    <t xml:space="preserve">    MOVE WS-AMOUNT-AS-FLOAT TO SUBPGM-AMT.
    EXEC CICS LINK
       PROGRAM('XFRFUN')
       COMMAREA(SUBPGM-PARMS)
       RESP(WS-CICS-RESP)
       RESP2(WS-CICS-RESP2)
       SYNCONRETURN
    END-EXEC.
    IF WS-CICS-RESP NOT = DFHRESP(NORMAL)</t>
  </si>
  <si>
    <t>Chamada ao XFRFUN (LINK) com verificação do RESP. O comentário ('Provide the correct Amount') não corresponde ao conteúdo principal do trecho.</t>
  </si>
  <si>
    <t>BNK1TFN-023</t>
  </si>
  <si>
    <t>506-509</t>
  </si>
  <si>
    <t>511-513</t>
  </si>
  <si>
    <t>BNK1TFN-026</t>
  </si>
  <si>
    <t>580-581</t>
  </si>
  <si>
    <t>582-640</t>
  </si>
  <si>
    <t>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</si>
  <si>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t>
  </si>
  <si>
    <t>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3. Se a transferência não for bem-sucedida e o código de falha for '3', é exibida a mensagem de erro inesperado.
4. Se a transferência não for bem-sucedida e o código de falha for '4', é exibida a mensagem 'Please supply an amount greater than zero.'
5. Se a transferência não for bem-sucedida e o código de falha for outro, é exibida a mensagem de erro na transferência.
6. Se o indicador de sucesso da transferência for diferente de 'Y' após a verificação anterior, é exibida a mensagem de transferência não aplicada por não ser possível determinar o sucesso.
7. Se o indicador de sucesso da transferência for 'Y', é exibida a mensagem 'Transfer successfully applied.'</t>
  </si>
  <si>
    <t>[Rascunho] Linha vale por sete regras; avaliar se divide em entradas. O WHEN '3' não tem GO TO GCD999 (as demais têm): o fluxo segue após o END-EVALUATE. As regras 6 e 7 vêm do segundo IF (SUBPGM-SUCCESS NOT = 'Y'), agora exibido no fim do trecho. Como o WHEN '3' não tem GO TO e SUBPGM-SUCCESS segue 'N', o fluxo chega a esse segundo IF e a mensagem final seria 'unable to determine success', e não o erro inesperado da regra 3: conferir no fonte (possível divergência de comportamento).</t>
  </si>
  <si>
    <t>BNK1TFN-028</t>
  </si>
  <si>
    <t>665-669</t>
  </si>
  <si>
    <t>671-680</t>
  </si>
  <si>
    <t>Send/show the MAP If the map needs to have its data erased</t>
  </si>
  <si>
    <t xml:space="preserve">    IF SEND-ERASE
       EXEC CICS SEND MAP('BNK1TF')
          MAPSET('BNK1TFM')
          FROM(BNK1TFO)
          ERASE
          RESP(WS-CICS-RESP)
          RESP2(WS-CICS-RESP2)
       END-EXEC
       IF WS-CICS-RESP NOT = DFHRESP(NORMAL)</t>
  </si>
  <si>
    <t>BNK1TFN-029</t>
  </si>
  <si>
    <t>682-685</t>
  </si>
  <si>
    <t>687-689</t>
  </si>
  <si>
    <t>BNK1TFN-031</t>
  </si>
  <si>
    <t>743</t>
  </si>
  <si>
    <t>745-754</t>
  </si>
  <si>
    <t xml:space="preserve">    IF SEND-DATAONLY
       EXEC CICS SEND MAP('BNK1TF')
          MAPSET('BNK1TFM')
          FROM(BNK1TFO)
          DATAONLY
          RESP(WS-CICS-RESP)
          RESP2(WS-CICS-RESP2)
       END-EXEC
       IF WS-CICS-RESP NOT = DFHRESP(NORMAL)</t>
  </si>
  <si>
    <t>BNK1TFN-032</t>
  </si>
  <si>
    <t>756-759</t>
  </si>
  <si>
    <t>761-763</t>
  </si>
  <si>
    <t>BNK1TFN-034</t>
  </si>
  <si>
    <t>817</t>
  </si>
  <si>
    <t>819-829</t>
  </si>
  <si>
    <t xml:space="preserve">    IF SEND-DATAONLY-ALARM
       EXEC CICS SEND MAP('BNK1TF')
          MAPSET('BNK1TFM')
          FROM(BNK1TFO)
          DATAONLY
          ALARM
          RESP(WS-CICS-RESP)
          RESP2(WS-CICS-RESP2)
       END-EXEC
       IF WS-CICS-RESP NOT = DFHRESP(NORMAL)</t>
  </si>
  <si>
    <t>BNK1TFN-035</t>
  </si>
  <si>
    <t>831-834</t>
  </si>
  <si>
    <t>836-838</t>
  </si>
  <si>
    <t>BNK1TFN-037</t>
  </si>
  <si>
    <t>897</t>
  </si>
  <si>
    <t>899-907</t>
  </si>
  <si>
    <t>BNK1TFN-038</t>
  </si>
  <si>
    <t>909-912</t>
  </si>
  <si>
    <t>914-916</t>
  </si>
  <si>
    <t>BNK1TFN-040</t>
  </si>
  <si>
    <t>973</t>
  </si>
  <si>
    <t>975-986</t>
  </si>
  <si>
    <t>Issue an abend</t>
  </si>
  <si>
    <t xml:space="preserve">    DISPLAY WS-FAIL-INFO.
    EXEC CICS ABEND
       ABCODE('HBNK')
       NODUMP
    END-EXEC.
ATT999.
    EXIT.
VALIDATE-AMOUNT SECTION.
VA010.</t>
  </si>
  <si>
    <t>Exibição de WS-FAIL-INFO e ABEND 'HBNK'; tratamento técnico de falha.</t>
  </si>
  <si>
    <t>BNK1TFN-041</t>
  </si>
  <si>
    <t>988-989</t>
  </si>
  <si>
    <t>991-999</t>
  </si>
  <si>
    <t>Validate the amount entered. Is it greater than 0?</t>
  </si>
  <si>
    <t xml:space="preserve">    IF AMTL = ZERO
       MOVE 'The Amount entered must be numeric.' TO
          MESSAGEO
       MOVE 'N' TO VALID-DATA-SW
       MOVE -1 TO AMTL
       GO TO VA999
    END-IF
    IF AMTI(1:AMTL) IS NUMERIC</t>
  </si>
  <si>
    <t>Se o campo de valor estiver vazio (comprimento zero), a entrada é considerada inválida e é exibida a mensagem 'The Amount entered must be numeric.'</t>
  </si>
  <si>
    <t>[Rascunho] O comentário pergunta 'Is it greater than 0?', mas o teste é de comprimento do campo (AMTL = ZERO). O trecho abre o IF AMTI IS NUMERIC, cuja consequência está na BNK1TFN-042.</t>
  </si>
  <si>
    <t>BNK1TFN-042</t>
  </si>
  <si>
    <t>1001</t>
  </si>
  <si>
    <t>1003-1021</t>
  </si>
  <si>
    <t>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</si>
  <si>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</si>
  <si>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1. Se o valor informado for numérico e menor ou igual a zero, a entrada é considerada inválida e é exibida a mensagem 'Please supply a positive amount.'
2. Se o valor informado for numérico e maior que zero, a entrada é considerada válida.</t>
  </si>
  <si>
    <t>[Rascunho] Linha vale por duas regras. Aplica-se só a valores inteiros (IS NUMERIC); valores com ponto decimal seguem o fluxo das linhas 043 a 048.</t>
  </si>
  <si>
    <t>BNK1TFN-043</t>
  </si>
  <si>
    <t>1024</t>
  </si>
  <si>
    <t>1026-1077</t>
  </si>
  <si>
    <t>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</si>
  <si>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t>
  </si>
  <si>
    <t>[Rascunho] O restante do trecho (UNSTRING, contagem de caracteres) é procedural e já aparece completo; linha [D] ignorada (depuração).</t>
  </si>
  <si>
    <t>BNK1TFN-044</t>
  </si>
  <si>
    <t>1080-1081</t>
  </si>
  <si>
    <t>1083-1091</t>
  </si>
  <si>
    <t>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</si>
  <si>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</si>
  <si>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Se o valor informado contiver sinal de menos, a entrada é considerada inválida e é exibida a mensagem 'Please supply a positive amount.'</t>
  </si>
  <si>
    <t>[Rascunho] Diferente do BNK1CRA, que aceita sinal '-' e trata como débito: a transferência não admite valor negativo.</t>
  </si>
  <si>
    <t>BNK1TFN-045</t>
  </si>
  <si>
    <t>1094-1098</t>
  </si>
  <si>
    <t>1100-1120</t>
  </si>
  <si>
    <t>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</si>
  <si>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</si>
  <si>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[Rascunho] Linha vale por duas regras. Equivalente à BNK1CRA-040.</t>
  </si>
  <si>
    <t>BNK1TFN-046</t>
  </si>
  <si>
    <t>1123</t>
  </si>
  <si>
    <t>1125-1138</t>
  </si>
  <si>
    <t>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</si>
  <si>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</si>
  <si>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[Rascunho] Equivalente à BNK1CRA-041.</t>
  </si>
  <si>
    <t>BNK1TFN-047</t>
  </si>
  <si>
    <t>1140</t>
  </si>
  <si>
    <t>1142-1171</t>
  </si>
  <si>
    <t>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</si>
  <si>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</si>
  <si>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[Rascunho] A condição está nesta linha (IF aninhado); a mensagem e a consequência estão na BNK1TFN-048. Linhas [D] ignoradas (depuração). Equivalente à BNK1CRA-042.</t>
  </si>
  <si>
    <t>BNK1TFN-048</t>
  </si>
  <si>
    <t>1173</t>
  </si>
  <si>
    <t>1175-1208</t>
  </si>
  <si>
    <t>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</si>
  <si>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</si>
  <si>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[Rascunho] 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</si>
  <si>
    <t>DBCRFUN-010</t>
  </si>
  <si>
    <t>380-382</t>
  </si>
  <si>
    <t>384-387</t>
  </si>
  <si>
    <t>If the SQLCODE from the SELECT is OK then update the record and update the details on the PROCTRAN (Processed transaction) datastore.</t>
  </si>
  <si>
    <t xml:space="preserve">    COMPUTE HV-ACCOUNT-AVAIL-BAL =
       HV-ACCOUNT-AVAIL-BAL + COMM-AMT.
    COMPUTE HV-ACCOUNT-ACTUAL-BAL =
       HV-ACCOUNT-ACTUAL-BAL + COMM-AMT.</t>
  </si>
  <si>
    <t>Reincluído</t>
  </si>
  <si>
    <t>procedural</t>
  </si>
  <si>
    <t>O valor da operação (negativo no débito e positivo no crédito) é somado ao saldo disponível e ao saldo atual da conta.</t>
  </si>
  <si>
    <t>[Rascunho] 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</si>
  <si>
    <t>DBCRFUN-015</t>
  </si>
  <si>
    <t>438-439</t>
  </si>
  <si>
    <t>441-448</t>
  </si>
  <si>
    <t>If the RESP CODE was normal then we need to write to the PROCTRAN (processed transaction) datastore.</t>
  </si>
  <si>
    <t xml:space="preserve">    PERFORM WRITE-TO-PROCTRAN.
UAD999.
    EXIT.
WRITE-TO-PROCTRAN SECTION.
WTP010.</t>
  </si>
  <si>
    <t>Se a atualização da conta for bem-sucedida, o registro da transação é gravado em PROCTRAN.</t>
  </si>
  <si>
    <t>Reincluída da aba Descartados (motivo do descarte: procedural, sem decisão nem tratamento de falha). A condição é implícita: este ponto só é alcançado se o IF SQLCODE NOT = 0 da DBCRFUN-013 não for satisfeito (a falha sai por GO TO UAD999). O trecho extraído inclui o fim da seção (UAD999 EXIT) e o início de WRITE-TO-PROCTRAN, por corte do extrator; ambos ficam fora da regra. O detalhe da gravação está na DBCRFUN-016 (Descartados, mantida descartada para não duplicar a regra).</t>
  </si>
  <si>
    <t>XFRFUN-032</t>
  </si>
  <si>
    <t>907-909</t>
  </si>
  <si>
    <t>911-913</t>
  </si>
  <si>
    <t>If the updates to the TO and FROM accounts were successful then we need to write to PROCTRAN (processed transaction) to record the successful transfer.</t>
  </si>
  <si>
    <t xml:space="preserve">    PERFORM WRITE-TO-PROCTRAN.
    MOVE 'Y' TO COMM-SUCCESS.</t>
  </si>
  <si>
    <t>1. Se as atualizações das contas de origem e de destino forem bem-sucedidas, o registro da transação é gravado em PROCTRAN.
2. Ao final, a transferência é sinalizada como bem-sucedida (COMM-SUCCESS igual a 'Y').</t>
  </si>
  <si>
    <t>Reincluída da aba Descartados (motivo do descarte: procedural, sem decisão nem tratamento de falha). O comentário condiciona a gravação ao sucesso das duas atualizações, mas o código não contém IF: a condição é implícita, pois as falhas anteriores saem do parágrafo (por exemplo, GO TO UAD999 na linha 898). Pelo critério proposto de infraestrutura, a decisão de registrar a transferência concluída é regra de negócio, e a execução da gravação e a montagem do registro (XFRFUN-059) ficam fora do gabarito. Mesmo padrão do DBCRFUN-015 e 026. Critério a levar ao orientador.</t>
  </si>
  <si>
    <t>XFRFUN-036</t>
  </si>
  <si>
    <t>983-984</t>
  </si>
  <si>
    <t>986-990</t>
  </si>
  <si>
    <t>If the SQLCODE is OK then update the row on ACCOUNT for the FROM account.</t>
  </si>
  <si>
    <t xml:space="preserve">    COMPUTE HV-ACCOUNT-AVAIL-BAL =
    HV-ACCOUNT-AVAIL-BAL - COMM-AMT.
    COMPUTE HV-ACCOUNT-ACTUAL-BAL =
    HV-ACCOUNT-ACTUAL-BAL - COMM-AMT.</t>
  </si>
  <si>
    <t>Se a leitura da conta de origem for bem-sucedida, o valor da transferência é subtraído do saldo disponível e do saldo atual da conta de origem.</t>
  </si>
  <si>
    <t>Reincluída da aba Descartados (motivo do descarte: procedural, sem decisão nem tratamento de falha). O comentário fala em 'SQLCODE OK', mas o código não contém IF: a condição é implícita, pois só se chega a este ponto se a leitura da conta de origem foi bem-sucedida (a falha sai por GO TO UADF999, linha 978). Regra de cálculo; o UPDATE seguinte (até a linha 1008) é acesso a dados e fica fora do gabarito. O trecho exibido contém só o cálculo.</t>
  </si>
  <si>
    <t>XFRFUN-051</t>
  </si>
  <si>
    <t>1354-1355</t>
  </si>
  <si>
    <t>1357-1360</t>
  </si>
  <si>
    <t>If the SELECT was successful, then amend the account balances and UPDATE the row back onto the ACCOUNT table.</t>
  </si>
  <si>
    <t xml:space="preserve">    COMPUTE HV-ACCOUNT-AVAIL-BAL = HV-ACCOUNT-AVAIL-BAL +
            COMM-AMT.
    COMPUTE HV-ACCOUNT-ACTUAL-BAL = HV-ACCOUNT-ACTUAL-BAL +
            COMM-AMT.</t>
  </si>
  <si>
    <t>Se a leitura da conta de destino for bem-sucedida, o valor da transferência é somado ao saldo disponível e ao saldo atual da conta de destino.</t>
  </si>
  <si>
    <t>Reincluída da aba Descartados (motivo do descarte: procedural, sem decisão nem tratamento de falha). O comentário fala em 'SELECT bem-sucedido', mas o código não contém IF: a condição é implícita, pois a falha anterior termina em ABEND 'RUF2' (linhas 1345-1347). Regra de cálculo; o UPDATE seguinte (linhas 1362-1378) é acesso a dados e fica fora do gabarito. O trecho exibido contém só o cálculo.</t>
  </si>
  <si>
    <t>Motivo do descarte</t>
  </si>
  <si>
    <t>Reavaliação</t>
  </si>
  <si>
    <t>DBCRFUN-002</t>
  </si>
  <si>
    <t>215-221</t>
  </si>
  <si>
    <t>223</t>
  </si>
  <si>
    <t>Determine what kind of ACCOUNT datastore we should be accessing Go and update the ACCOUNT record</t>
  </si>
  <si>
    <t xml:space="preserve">     PERFORM UPDATE-ACCOUNT-DB2.</t>
  </si>
  <si>
    <t>Procedural (sem decisão nem tratamento de falha)</t>
  </si>
  <si>
    <t>comentário delega lógica (PERFORM); comentário menciona condição: reavaliar</t>
  </si>
  <si>
    <t>Manter descartado</t>
  </si>
  <si>
    <t>DBCRFUN-003</t>
  </si>
  <si>
    <t>225-226</t>
  </si>
  <si>
    <t>229-240</t>
  </si>
  <si>
    <t>The COMMAREA values have now been set so all we need to do is finish</t>
  </si>
  <si>
    <t xml:space="preserve">    PERFORM GET-ME-OUT-OF-HERE.
A999.
    EXIT.
UPDATE-ACCOUNT-DB2 SECTION.
UAD010.
    MOVE COMM-ACCNO TO DESIRED-ACC-NO.
    MOVE DESIRED-SORT-CODE TO HV-ACCOUNT-SORTCODE.
    MOVE DESIRED-ACC-NO TO HV-ACCOUNT-ACC-NO.</t>
  </si>
  <si>
    <t>comentário delega lógica (PERFORM)</t>
  </si>
  <si>
    <t>DBCRFUN-004</t>
  </si>
  <si>
    <t>243</t>
  </si>
  <si>
    <t>245-273</t>
  </si>
  <si>
    <t>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</si>
  <si>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</si>
  <si>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DBCRFUN-006</t>
  </si>
  <si>
    <t>290-291</t>
  </si>
  <si>
    <t>293-297</t>
  </si>
  <si>
    <t xml:space="preserve">       PERFORM CHECK-FOR-STORM-DRAIN-DB2
       GO TO UAD999
    END-IF.</t>
  </si>
  <si>
    <t>comentário delega lógica (PERFORM); contém GO TO (desvio incondicional); comentário menciona condição: reavaliar</t>
  </si>
  <si>
    <t>comentário menciona condição: reavaliar</t>
  </si>
  <si>
    <t>Reincluir</t>
  </si>
  <si>
    <t>DBCRFUN-011</t>
  </si>
  <si>
    <t>390</t>
  </si>
  <si>
    <t>392-408</t>
  </si>
  <si>
    <t>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</si>
  <si>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</si>
  <si>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DBCRFUN-014</t>
  </si>
  <si>
    <t>429-430</t>
  </si>
  <si>
    <t>432-435</t>
  </si>
  <si>
    <t>DBCRFUN-016</t>
  </si>
  <si>
    <t>451-452</t>
  </si>
  <si>
    <t>454-470</t>
  </si>
  <si>
    <t>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</si>
  <si>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</si>
  <si>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DBCRFUN-020</t>
  </si>
  <si>
    <t>522</t>
  </si>
  <si>
    <t>524-549</t>
  </si>
  <si>
    <t>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</si>
  <si>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</si>
  <si>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DBCRFUN-025</t>
  </si>
  <si>
    <t>639-640</t>
  </si>
  <si>
    <t>642-644</t>
  </si>
  <si>
    <t xml:space="preserve">       PERFORM CHECK-FOR-STORM-DRAIN-DB2
    ELSE</t>
  </si>
  <si>
    <t>DBCRFUN-028</t>
  </si>
  <si>
    <t>699</t>
  </si>
  <si>
    <t>701-705</t>
  </si>
  <si>
    <t>How ABENDs are dealt with</t>
  </si>
  <si>
    <t>ABEND-HANDLING SECTION.
AH010.
    EXEC CICS ASSIGN ABCODE(MY-ABEND-CODE)
    END-EXEC.</t>
  </si>
  <si>
    <t>XFRFUN-002</t>
  </si>
  <si>
    <t>299-300</t>
  </si>
  <si>
    <t>302-311</t>
  </si>
  <si>
    <t xml:space="preserve">    PERFORM GET-ME-OUT-OF-HERE.
A999.
    EXIT.
UPDATE-ACCOUNT-DB2 SECTION.
UAD010.
    MOVE 'N' TO COMM-SUCCESS.</t>
  </si>
  <si>
    <t>XFRFUN-007</t>
  </si>
  <si>
    <t>387</t>
  </si>
  <si>
    <t>389</t>
  </si>
  <si>
    <t>Update the FROM account</t>
  </si>
  <si>
    <t xml:space="preserve">       PERFORM UPDATE-ACCOUNT-DB2-FROM</t>
  </si>
  <si>
    <t>XFRFUN-018</t>
  </si>
  <si>
    <t>598</t>
  </si>
  <si>
    <t>600</t>
  </si>
  <si>
    <t>Update the TO account number</t>
  </si>
  <si>
    <t xml:space="preserve">       PERFORM UPDATE-ACCOUNT-DB2-TO</t>
  </si>
  <si>
    <t>911-920</t>
  </si>
  <si>
    <t xml:space="preserve">    PERFORM WRITE-TO-PROCTRAN.
    MOVE 'Y' TO COMM-SUCCESS.
UAD999.
    EXIT.
UPDATE-ACCOUNT-DB2-FROM SECTION.
UADF010.</t>
  </si>
  <si>
    <t>XFRFUN-033</t>
  </si>
  <si>
    <t>922</t>
  </si>
  <si>
    <t>924-958</t>
  </si>
  <si>
    <t>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</si>
  <si>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</si>
  <si>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XFRFUN-035</t>
  </si>
  <si>
    <t>973-974</t>
  </si>
  <si>
    <t>976-980</t>
  </si>
  <si>
    <t xml:space="preserve">       PERFORM CHECK-FOR-STORM-DRAIN-DB2
       GO TO UADF999
    END-IF.</t>
  </si>
  <si>
    <t>986-1008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</si>
  <si>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</si>
  <si>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XFRFUN-038</t>
  </si>
  <si>
    <t>1020-1021</t>
  </si>
  <si>
    <t>1023-1027</t>
  </si>
  <si>
    <t>XFRFUN-039</t>
  </si>
  <si>
    <t>1030-1031</t>
  </si>
  <si>
    <t>1033-1044</t>
  </si>
  <si>
    <t>If the update to the FROM account was OK store the updated balances away.</t>
  </si>
  <si>
    <t xml:space="preserve">    MOVE HV-ACCOUNT-AVAIL-BAL TO COMM-FAVBAL.
    MOVE HV-ACCOUNT-ACTUAL-BAL TO COMM-FACTBAL.
    MOVE 'Y' TO COMM-SUCCESS.
UADF999.
    EXIT.
UPDATE-ACCOUNT-DB2-TO SECTION.
UADT010.
    MOVE 'N' TO COMM-SUCCESS.</t>
  </si>
  <si>
    <t>XFRFUN-040</t>
  </si>
  <si>
    <t>1046-1047</t>
  </si>
  <si>
    <t>1049-1085</t>
  </si>
  <si>
    <t>Position ourself at the matching account record for the TO account</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</si>
  <si>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</si>
  <si>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XFRFUN-042</t>
  </si>
  <si>
    <t>1094-1095</t>
  </si>
  <si>
    <t>1097</t>
  </si>
  <si>
    <t xml:space="preserve">       PERFORM CHECK-FOR-STORM-DRAIN-DB2</t>
  </si>
  <si>
    <t>1357-1378</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</si>
  <si>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</si>
  <si>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XFRFUN-058</t>
  </si>
  <si>
    <t>1552</t>
  </si>
  <si>
    <t>1554-1572</t>
  </si>
  <si>
    <t>Store the data away</t>
  </si>
  <si>
    <t xml:space="preserve">    MOVE HV-ACCOUNT-AVAIL-BAL  TO COMM-TAVBAL.
    MOVE HV-ACCOUNT-ACTUAL-BAL TO COMM-TACTBAL.
    MOVE 'Y' TO COMM-SUCCESS.
UADT999.
    EXIT.
WRITE-TO-PROCTRAN SECTION.
WTP010.
    PERFORM WRITE-TO-PROCTRAN-DB2.
WTP999.
    EXIT.
WRITE-TO-PROCTRAN-DB2 SECTION.
WTPD010.</t>
  </si>
  <si>
    <t>XFRFUN-059</t>
  </si>
  <si>
    <t>1574-1575</t>
  </si>
  <si>
    <t>1577-1584</t>
  </si>
  <si>
    <t>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</si>
  <si>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</si>
  <si>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XFRFUN-060</t>
  </si>
  <si>
    <t>1587</t>
  </si>
  <si>
    <t>1589-1641</t>
  </si>
  <si>
    <t>Populate the time and date</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</si>
  <si>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</si>
  <si>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XFRFUN-066</t>
  </si>
  <si>
    <t>1772</t>
  </si>
  <si>
    <t>1774-1776</t>
  </si>
  <si>
    <t>Deal with any abends</t>
  </si>
  <si>
    <t xml:space="preserve">    EXEC CICS ASSIGN
       ABCODE(MY-ABEND-CODE)
    END-EXEC.</t>
  </si>
  <si>
    <t>BNK1CRA-010</t>
  </si>
  <si>
    <t>282</t>
  </si>
  <si>
    <t>284-335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</si>
  <si>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
       MOVE 'BNK1CRA - A010 - RETURN TRANSID(OCRA) FAIL' TO
          WS-CICS-FAIL-MSG
       MOVE WS-CICS-RESP  TO WS-CICS-RESP-DISP
       MOVE WS-CICS-RESP2 TO WS-CICS-RESP2-DISP
       PERFORM ABEND-THIS-TASK
    END-IF.
A999.
    EXIT.
PROCESS-MAP SECTION.
PM010.</t>
  </si>
  <si>
    <t>comentário curto; comentário delega lógica (PERFORM)</t>
  </si>
  <si>
    <t>BNK1CRA-011</t>
  </si>
  <si>
    <t>337</t>
  </si>
  <si>
    <t>339</t>
  </si>
  <si>
    <t>Retrieve the data from the map</t>
  </si>
  <si>
    <t xml:space="preserve">    PERFORM RECEIVE-MAP.</t>
  </si>
  <si>
    <t>BNK1CRA-012</t>
  </si>
  <si>
    <t>342</t>
  </si>
  <si>
    <t>344</t>
  </si>
  <si>
    <t>Validate the received data</t>
  </si>
  <si>
    <t xml:space="preserve">    PERFORM EDIT-DATA.</t>
  </si>
  <si>
    <t>BNK1CRA-014</t>
  </si>
  <si>
    <t>357</t>
  </si>
  <si>
    <t>359-366</t>
  </si>
  <si>
    <t>Output the data to the screen</t>
  </si>
  <si>
    <t xml:space="preserve">    PERFORM SEND-MAP.
PM999.
    EXIT.
RECEIVE-MAP SECTION.
RM010.</t>
  </si>
  <si>
    <t>BNK1CRA-017</t>
  </si>
  <si>
    <t>391-442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</si>
  <si>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t>
  </si>
  <si>
    <t>BNK1CRA-019</t>
  </si>
  <si>
    <t>472</t>
  </si>
  <si>
    <t>474-481</t>
  </si>
  <si>
    <t>Validate the Amount entered</t>
  </si>
  <si>
    <t xml:space="preserve">    PERFORM VALIDATE-AMOUNT.
ED999.
    EXIT.
UPD-CRED-DATA SECTION.
UCD010.</t>
  </si>
  <si>
    <t>BNK1CRA-020</t>
  </si>
  <si>
    <t>486-489</t>
  </si>
  <si>
    <t>Set up the COMMAREA fields required by DBCRFUN and then link to it.</t>
  </si>
  <si>
    <t xml:space="preserve">    INITIALIZE SUBPGM-PARMS.
    MOVE ACCNOI TO SUBPGM-ACCNO.
    MOVE 0 TO SUBPGM-AMT.</t>
  </si>
  <si>
    <t>BNK1CRA-024</t>
  </si>
  <si>
    <t>530</t>
  </si>
  <si>
    <t>532-576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</si>
  <si>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
       MOVE 'BNK1CRA - UCD010 - LINK DBCRFUN  FAIL      '
          TO WS-CICS-FAIL-MSG
       MOVE WS-CICS-RESP  TO WS-CICS-RESP-DISP
       MOVE WS-CICS-RESP2 TO WS-CICS-RESP2-DISP
       PERFORM ABEND-THIS-TASK
    END-IF.</t>
  </si>
  <si>
    <t>BNK1CRA-026</t>
  </si>
  <si>
    <t>629</t>
  </si>
  <si>
    <t>631-644</t>
  </si>
  <si>
    <t>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</si>
  <si>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</si>
  <si>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BNK1CRA-029</t>
  </si>
  <si>
    <t>668</t>
  </si>
  <si>
    <t>670-717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</si>
  <si>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'BNK1CRA - SM010 - SEND MAP ERASE FAIL '
             TO WS-CICS-FAIL-MSG
          MOVE WS-CICS-RESP  TO WS-CICS-RESP-DISP
          MOVE WS-CICS-RESP2 TO WS-CICS-RESP2-DISP
          PERFORM ABEND-THIS-TASK
       END-IF
       GO TO SM999
    END-IF.</t>
  </si>
  <si>
    <t>comentário curto; comentário delega lógica (PERFORM); contém GO TO (desvio incondicional)</t>
  </si>
  <si>
    <t>BNK1CRA-032</t>
  </si>
  <si>
    <t>742</t>
  </si>
  <si>
    <t>744-791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</si>
  <si>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FAIL '
             TO WS-CICS-FAIL-MSG
          MOVE WS-CICS-RESP  TO WS-CICS-RESP-DISP
          MOVE WS-CICS-RESP2 TO WS-CICS-RESP2-DISP
          PERFORM ABEND-THIS-TASK
       END-IF
       GO TO SM999
    END-IF.</t>
  </si>
  <si>
    <t>BNK1CRA-035</t>
  </si>
  <si>
    <t>819-872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</si>
  <si>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ALARM FAIL '
             TO WS-CICS-FAIL-MSG
          MOVE WS-CICS-RESP  TO WS-CICS-RESP-DISP
          MOVE WS-CICS-RESP2 TO WS-CICS-RESP2-DISP
          PERFORM ABEND-THIS-TASK
       END-IF
    END-IF.
SM999.
    EXIT.
SEND-TERMINATION-MSG SECTION.
STM010.</t>
  </si>
  <si>
    <t>BNK1TFN-008</t>
  </si>
  <si>
    <t>239-242</t>
  </si>
  <si>
    <t>MOVE 10 TO CUSTNOL</t>
  </si>
  <si>
    <t xml:space="preserve">          SET SEND-DATAONLY-ALARM TO TRUE
          PERFORM SEND-MAP
    END-EVALUATE.</t>
  </si>
  <si>
    <t>possível código desativado; comentário delega lógica (PERFORM)</t>
  </si>
  <si>
    <t>BNK1TFN-011</t>
  </si>
  <si>
    <t>266</t>
  </si>
  <si>
    <t>268-320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</si>
  <si>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t>
  </si>
  <si>
    <t>BNK1TFN-012</t>
  </si>
  <si>
    <t>322</t>
  </si>
  <si>
    <t>325</t>
  </si>
  <si>
    <t>BNK1TFN-013</t>
  </si>
  <si>
    <t>330</t>
  </si>
  <si>
    <t>BNK1TFN-015</t>
  </si>
  <si>
    <t>343</t>
  </si>
  <si>
    <t>345-352</t>
  </si>
  <si>
    <t>BNK1TFN-018</t>
  </si>
  <si>
    <t>375</t>
  </si>
  <si>
    <t>377-429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</si>
  <si>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t>
  </si>
  <si>
    <t>BNK1TFN-020</t>
  </si>
  <si>
    <t>470</t>
  </si>
  <si>
    <t>472-479</t>
  </si>
  <si>
    <t xml:space="preserve">    PERFORM VALIDATE-AMOUNT.
ED999.
    EXIT.
GET-ACC-DATA SECTION.
GCD010.</t>
  </si>
  <si>
    <t>BNK1TFN-021</t>
  </si>
  <si>
    <t>481-483</t>
  </si>
  <si>
    <t>485-489</t>
  </si>
  <si>
    <t>Set up the fields required by XFRFUN then link to it to get account information and perform the transfer, then check what gets returned.</t>
  </si>
  <si>
    <t xml:space="preserve">    INITIALIZE SUBPGM-PARMS.
    MOVE FACCNOI TO  SUBPGM-FACCNO.
    MOVE TACCNOI TO  SUBPGM-TACCNO.
    MOVE 'N'     TO  SUBPGM-SUCCESS.</t>
  </si>
  <si>
    <t>BNK1TFN-024</t>
  </si>
  <si>
    <t>515</t>
  </si>
  <si>
    <t>517-561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</si>
  <si>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t>
  </si>
  <si>
    <t>BNK1TFN-025</t>
  </si>
  <si>
    <t>564</t>
  </si>
  <si>
    <t>566-577</t>
  </si>
  <si>
    <t>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</si>
  <si>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</si>
  <si>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BNK1TFN-027</t>
  </si>
  <si>
    <t>643</t>
  </si>
  <si>
    <t>645-663</t>
  </si>
  <si>
    <t>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</si>
  <si>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</si>
  <si>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BNK1TFN-030</t>
  </si>
  <si>
    <t>691</t>
  </si>
  <si>
    <t>693-740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</si>
  <si>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t>
  </si>
  <si>
    <t>BNK1TFN-033</t>
  </si>
  <si>
    <t>765</t>
  </si>
  <si>
    <t>767-814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</si>
  <si>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t>
  </si>
  <si>
    <t>BNK1TFN-036</t>
  </si>
  <si>
    <t>840</t>
  </si>
  <si>
    <t>842-895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</si>
  <si>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t>
  </si>
  <si>
    <t>BNK1TFN-039</t>
  </si>
  <si>
    <t>918</t>
  </si>
  <si>
    <t>920-971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</si>
  <si>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t>
  </si>
  <si>
    <t>BNK1TFN-049</t>
  </si>
  <si>
    <t>1210</t>
  </si>
  <si>
    <t>1212-1224</t>
  </si>
  <si>
    <t>Fomate the date and time</t>
  </si>
  <si>
    <t xml:space="preserve">    EXEC CICS ASKTIME
       ABSTIME(WS-U-TIME)
    END-EXEC.
    EXEC CICS FORMATTIME
              ABSTIME(WS-U-TIME)
              DDMMYYYY(WS-ORIG-DATE)
              TIME(WS-TIME-NOW)
              DATESEP
    END-EXEC.
PTD999.
    EXIT.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</si>
</sst>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theme="1"/>
      <name val="Arial"/>
    </font>
    <font>
      <sz val="11.0"/>
      <color theme="1"/>
      <name val="Calibri"/>
    </font>
    <font>
      <b/>
      <sz val="10.0"/>
      <color theme="1"/>
      <name val="Arial"/>
    </font>
    <font>
      <sz val="10.0"/>
      <color theme="1"/>
      <name val="Arial"/>
    </font>
    <font>
      <b/>
      <sz val="10.0"/>
      <color rgb="FFFFFFFF"/>
      <name val="Arial"/>
    </font>
    <font>
      <sz val="9.0"/>
      <color theme="1"/>
      <name val="Courier New"/>
    </font>
    <font>
      <sz val="10.0"/>
      <color rgb="FF0000FF"/>
      <name val="Arial"/>
    </font>
    <font>
      <sz val="10.0"/>
      <color rgb="FF000000"/>
      <name val="Arial"/>
    </font>
  </fonts>
  <fills count="4">
    <fill>
      <patternFill patternType="none"/>
    </fill>
    <fill>
      <patternFill patternType="lightGray"/>
    </fill>
    <fill>
      <patternFill patternType="solid">
        <fgColor rgb="FF2F4F6F"/>
        <bgColor rgb="FF2F4F6F"/>
      </patternFill>
    </fill>
    <fill>
      <patternFill patternType="solid">
        <fgColor rgb="FFFFF9DB"/>
        <bgColor rgb="FFFFF9DB"/>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shrinkToFit="0" vertical="center" wrapText="1"/>
    </xf>
    <xf borderId="0" fillId="0" fontId="4" numFmtId="0" xfId="0" applyFont="1"/>
    <xf borderId="0" fillId="0" fontId="3" numFmtId="0" xfId="0" applyFont="1"/>
    <xf borderId="0" fillId="0" fontId="4" numFmtId="0" xfId="0" applyAlignment="1" applyFont="1">
      <alignment shrinkToFit="0" vertical="center" wrapText="1"/>
    </xf>
    <xf borderId="0" fillId="0" fontId="6" numFmtId="0" xfId="0" applyAlignment="1" applyFont="1">
      <alignment shrinkToFit="0" vertical="top" wrapText="1"/>
    </xf>
    <xf borderId="1" fillId="3" fontId="7" numFmtId="0" xfId="0" applyAlignment="1" applyBorder="1" applyFill="1" applyFont="1">
      <alignment shrinkToFit="0" vertical="top" wrapText="1"/>
    </xf>
    <xf borderId="1" fillId="3" fontId="8" numFmtId="0" xfId="0" applyAlignment="1" applyBorder="1" applyFill="1" applyFont="1">
      <alignment shrinkToFit="0" vertical="top" wrapText="1"/>
    </xf>
    <xf borderId="1" fillId="3" fontId="4" numFmtId="0" xfId="0" applyAlignment="1" applyBorder="1" applyFill="1" applyFont="1">
      <alignment shrinkToFit="0" vertical="top" wrapText="1"/>
    </xf>
    <xf borderId="1" fillId="3" fontId="8"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6" width="8.71"/>
  </cols>
  <sheetData>
    <row r="1">
      <c r="A1" s="1" t="s">
        <v>0</v>
      </c>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3" t="s">
        <v>1</v>
      </c>
      <c r="B3" s="4" t="s">
        <v>2</v>
      </c>
      <c r="C3" s="2"/>
      <c r="D3" s="2"/>
      <c r="E3" s="2"/>
      <c r="F3" s="2"/>
      <c r="G3" s="2"/>
      <c r="H3" s="2"/>
      <c r="I3" s="2"/>
      <c r="J3" s="2"/>
      <c r="K3" s="2"/>
      <c r="L3" s="2"/>
      <c r="M3" s="2"/>
      <c r="N3" s="2"/>
      <c r="O3" s="2"/>
      <c r="P3" s="2"/>
      <c r="Q3" s="2"/>
      <c r="R3" s="2"/>
      <c r="S3" s="2"/>
      <c r="T3" s="2"/>
      <c r="U3" s="2"/>
      <c r="V3" s="2"/>
      <c r="W3" s="2"/>
      <c r="X3" s="2"/>
      <c r="Y3" s="2"/>
      <c r="Z3" s="2"/>
    </row>
    <row r="4">
      <c r="A4" s="3" t="s">
        <v>3</v>
      </c>
      <c r="B4" s="4" t="s">
        <v>4</v>
      </c>
      <c r="C4" s="2"/>
      <c r="D4" s="2"/>
      <c r="E4" s="2"/>
      <c r="F4" s="2"/>
      <c r="G4" s="2"/>
      <c r="H4" s="2"/>
      <c r="I4" s="2"/>
      <c r="J4" s="2"/>
      <c r="K4" s="2"/>
      <c r="L4" s="2"/>
      <c r="M4" s="2"/>
      <c r="N4" s="2"/>
      <c r="O4" s="2"/>
      <c r="P4" s="2"/>
      <c r="Q4" s="2"/>
      <c r="R4" s="2"/>
      <c r="S4" s="2"/>
      <c r="T4" s="2"/>
      <c r="U4" s="2"/>
      <c r="V4" s="2"/>
      <c r="W4" s="2"/>
      <c r="X4" s="2"/>
      <c r="Y4" s="2"/>
      <c r="Z4" s="2"/>
    </row>
    <row r="5">
      <c r="A5" s="3" t="s">
        <v>5</v>
      </c>
      <c r="B5" s="4" t="s">
        <v>6</v>
      </c>
      <c r="C5" s="2"/>
      <c r="D5" s="2"/>
      <c r="E5" s="2"/>
      <c r="F5" s="2"/>
      <c r="G5" s="2"/>
      <c r="H5" s="2"/>
      <c r="I5" s="2"/>
      <c r="J5" s="2"/>
      <c r="K5" s="2"/>
      <c r="L5" s="2"/>
      <c r="M5" s="2"/>
      <c r="N5" s="2"/>
      <c r="O5" s="2"/>
      <c r="P5" s="2"/>
      <c r="Q5" s="2"/>
      <c r="R5" s="2"/>
      <c r="S5" s="2"/>
      <c r="T5" s="2"/>
      <c r="U5" s="2"/>
      <c r="V5" s="2"/>
      <c r="W5" s="2"/>
      <c r="X5" s="2"/>
      <c r="Y5" s="2"/>
      <c r="Z5" s="2"/>
    </row>
    <row r="6">
      <c r="A6" s="3" t="s">
        <v>7</v>
      </c>
      <c r="B6" s="4" t="s">
        <v>8</v>
      </c>
      <c r="C6" s="2"/>
      <c r="D6" s="2"/>
      <c r="E6" s="2"/>
      <c r="F6" s="2"/>
      <c r="G6" s="2"/>
      <c r="H6" s="2"/>
      <c r="I6" s="2"/>
      <c r="J6" s="2"/>
      <c r="K6" s="2"/>
      <c r="L6" s="2"/>
      <c r="M6" s="2"/>
      <c r="N6" s="2"/>
      <c r="O6" s="2"/>
      <c r="P6" s="2"/>
      <c r="Q6" s="2"/>
      <c r="R6" s="2"/>
      <c r="S6" s="2"/>
      <c r="T6" s="2"/>
      <c r="U6" s="2"/>
      <c r="V6" s="2"/>
      <c r="W6" s="2"/>
      <c r="X6" s="2"/>
      <c r="Y6" s="2"/>
      <c r="Z6" s="2"/>
    </row>
    <row r="7">
      <c r="A7" s="3" t="s">
        <v>9</v>
      </c>
      <c r="B7" s="4" t="s">
        <v>10</v>
      </c>
      <c r="C7" s="2"/>
      <c r="D7" s="2"/>
      <c r="E7" s="2"/>
      <c r="F7" s="2"/>
      <c r="G7" s="2"/>
      <c r="H7" s="2"/>
      <c r="I7" s="2"/>
      <c r="J7" s="2"/>
      <c r="K7" s="2"/>
      <c r="L7" s="2"/>
      <c r="M7" s="2"/>
      <c r="N7" s="2"/>
      <c r="O7" s="2"/>
      <c r="P7" s="2"/>
      <c r="Q7" s="2"/>
      <c r="R7" s="2"/>
      <c r="S7" s="2"/>
      <c r="T7" s="2"/>
      <c r="U7" s="2"/>
      <c r="V7" s="2"/>
      <c r="W7" s="2"/>
      <c r="X7" s="2"/>
      <c r="Y7" s="2"/>
      <c r="Z7" s="2"/>
    </row>
    <row r="8">
      <c r="A8" s="3" t="s">
        <v>11</v>
      </c>
      <c r="B8" s="4" t="s">
        <v>12</v>
      </c>
      <c r="C8" s="2"/>
      <c r="D8" s="2"/>
      <c r="E8" s="2"/>
      <c r="F8" s="2"/>
      <c r="G8" s="2"/>
      <c r="H8" s="2"/>
      <c r="I8" s="2"/>
      <c r="J8" s="2"/>
      <c r="K8" s="2"/>
      <c r="L8" s="2"/>
      <c r="M8" s="2"/>
      <c r="N8" s="2"/>
      <c r="O8" s="2"/>
      <c r="P8" s="2"/>
      <c r="Q8" s="2"/>
      <c r="R8" s="2"/>
      <c r="S8" s="2"/>
      <c r="T8" s="2"/>
      <c r="U8" s="2"/>
      <c r="V8" s="2"/>
      <c r="W8" s="2"/>
      <c r="X8" s="2"/>
      <c r="Y8" s="2"/>
      <c r="Z8" s="2"/>
    </row>
    <row r="9">
      <c r="A9" s="3" t="s">
        <v>13</v>
      </c>
      <c r="B9" s="4" t="s">
        <v>14</v>
      </c>
      <c r="C9" s="2"/>
      <c r="D9" s="2"/>
      <c r="E9" s="2"/>
      <c r="F9" s="2"/>
      <c r="G9" s="2"/>
      <c r="H9" s="2"/>
      <c r="I9" s="2"/>
      <c r="J9" s="2"/>
      <c r="K9" s="2"/>
      <c r="L9" s="2"/>
      <c r="M9" s="2"/>
      <c r="N9" s="2"/>
      <c r="O9" s="2"/>
      <c r="P9" s="2"/>
      <c r="Q9" s="2"/>
      <c r="R9" s="2"/>
      <c r="S9" s="2"/>
      <c r="T9" s="2"/>
      <c r="U9" s="2"/>
      <c r="V9" s="2"/>
      <c r="W9" s="2"/>
      <c r="X9" s="2"/>
      <c r="Y9" s="2"/>
      <c r="Z9" s="2"/>
    </row>
    <row r="10">
      <c r="A10" s="3" t="s">
        <v>15</v>
      </c>
      <c r="B10" s="4" t="s">
        <v>16</v>
      </c>
      <c r="C10" s="2"/>
      <c r="D10" s="2"/>
      <c r="E10" s="2"/>
      <c r="F10" s="2"/>
      <c r="G10" s="2"/>
      <c r="H10" s="2"/>
      <c r="I10" s="2"/>
      <c r="J10" s="2"/>
      <c r="K10" s="2"/>
      <c r="L10" s="2"/>
      <c r="M10" s="2"/>
      <c r="N10" s="2"/>
      <c r="O10" s="2"/>
      <c r="P10" s="2"/>
      <c r="Q10" s="2"/>
      <c r="R10" s="2"/>
      <c r="S10" s="2"/>
      <c r="T10" s="2"/>
      <c r="U10" s="2"/>
      <c r="V10" s="2"/>
      <c r="W10" s="2"/>
      <c r="X10" s="2"/>
      <c r="Y10" s="2"/>
      <c r="Z10" s="2"/>
    </row>
    <row r="11">
      <c r="A11" s="3"/>
      <c r="B11" s="2"/>
      <c r="C11" s="2"/>
      <c r="D11" s="2"/>
      <c r="E11" s="2"/>
      <c r="F11" s="2"/>
      <c r="G11" s="2"/>
      <c r="H11" s="2"/>
      <c r="I11" s="2"/>
      <c r="J11" s="2"/>
      <c r="K11" s="2"/>
      <c r="L11" s="2"/>
      <c r="M11" s="2"/>
      <c r="N11" s="2"/>
      <c r="O11" s="2"/>
      <c r="P11" s="2"/>
      <c r="Q11" s="2"/>
      <c r="R11" s="2"/>
      <c r="S11" s="2"/>
      <c r="T11" s="2"/>
      <c r="U11" s="2"/>
      <c r="V11" s="2"/>
      <c r="W11" s="2"/>
      <c r="X11" s="2"/>
      <c r="Y11" s="2"/>
      <c r="Z11" s="2"/>
    </row>
    <row r="12">
      <c r="A12" s="3" t="s">
        <v>17</v>
      </c>
      <c r="B12" s="4" t="s">
        <v>18</v>
      </c>
      <c r="C12" s="2"/>
      <c r="D12" s="2"/>
      <c r="E12" s="2"/>
      <c r="F12" s="2"/>
      <c r="G12" s="2"/>
      <c r="H12" s="2"/>
      <c r="I12" s="2"/>
      <c r="J12" s="2"/>
      <c r="K12" s="2"/>
      <c r="L12" s="2"/>
      <c r="M12" s="2"/>
      <c r="N12" s="2"/>
      <c r="O12" s="2"/>
      <c r="P12" s="2"/>
      <c r="Q12" s="2"/>
      <c r="R12" s="2"/>
      <c r="S12" s="2"/>
      <c r="T12" s="2"/>
      <c r="U12" s="2"/>
      <c r="V12" s="2"/>
      <c r="W12" s="2"/>
      <c r="X12" s="2"/>
      <c r="Y12" s="2"/>
      <c r="Z12" s="2"/>
    </row>
    <row r="13">
      <c r="A13" s="3" t="s">
        <v>19</v>
      </c>
      <c r="B13" s="4" t="s">
        <v>20</v>
      </c>
      <c r="C13" s="2"/>
      <c r="D13" s="2"/>
      <c r="E13" s="2"/>
      <c r="F13" s="2"/>
      <c r="G13" s="2"/>
      <c r="H13" s="2"/>
      <c r="I13" s="2"/>
      <c r="J13" s="2"/>
      <c r="K13" s="2"/>
      <c r="L13" s="2"/>
      <c r="M13" s="2"/>
      <c r="N13" s="2"/>
      <c r="O13" s="2"/>
      <c r="P13" s="2"/>
      <c r="Q13" s="2"/>
      <c r="R13" s="2"/>
      <c r="S13" s="2"/>
      <c r="T13" s="2"/>
      <c r="U13" s="2"/>
      <c r="V13" s="2"/>
      <c r="W13" s="2"/>
      <c r="X13" s="2"/>
      <c r="Y13" s="2"/>
      <c r="Z13" s="2"/>
    </row>
    <row r="14">
      <c r="A14" s="3" t="s">
        <v>21</v>
      </c>
      <c r="B14" s="4" t="s">
        <v>22</v>
      </c>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86"/>
    <col customWidth="1" min="2" max="2" width="13.14"/>
    <col customWidth="1" min="3" max="3" width="14.0"/>
    <col customWidth="1" min="4" max="4" width="14.14"/>
    <col customWidth="1" min="5" max="6" width="10.0"/>
    <col customWidth="1" min="7" max="7" width="12.0"/>
    <col customWidth="1" min="8" max="8" width="11.0"/>
    <col customWidth="1" min="9" max="9" width="13.0"/>
    <col customWidth="1" min="10" max="10" width="16.0"/>
    <col customWidth="1" min="11" max="13" width="11.0"/>
    <col customWidth="1" min="14" max="14" width="13.0"/>
    <col customWidth="1" min="15" max="15" width="14.0"/>
  </cols>
  <sheetData>
    <row r="1" ht="45.0" customHeight="1">
      <c r="A1" s="5" t="s">
        <v>23</v>
      </c>
      <c r="B1" s="5" t="s">
        <v>24</v>
      </c>
      <c r="C1" s="5" t="s">
        <v>25</v>
      </c>
      <c r="D1" s="5" t="s">
        <v>26</v>
      </c>
      <c r="E1" s="5" t="s">
        <v>27</v>
      </c>
      <c r="F1" s="5" t="s">
        <v>28</v>
      </c>
      <c r="G1" s="5" t="s">
        <v>29</v>
      </c>
      <c r="H1" s="5" t="s">
        <v>30</v>
      </c>
      <c r="I1" s="5" t="s">
        <v>31</v>
      </c>
      <c r="J1" s="5" t="s">
        <v>32</v>
      </c>
      <c r="K1" s="5" t="s">
        <v>33</v>
      </c>
      <c r="L1" s="5" t="s">
        <v>34</v>
      </c>
      <c r="M1" s="5" t="s">
        <v>35</v>
      </c>
      <c r="N1" s="5" t="s">
        <v>36</v>
      </c>
      <c r="O1" s="5" t="s">
        <v>37</v>
      </c>
      <c r="P1" s="2"/>
      <c r="Q1" s="2"/>
      <c r="R1" s="2"/>
      <c r="S1" s="2"/>
      <c r="T1" s="2"/>
      <c r="U1" s="2"/>
      <c r="V1" s="2"/>
      <c r="W1" s="2"/>
      <c r="X1" s="2"/>
      <c r="Y1" s="2"/>
      <c r="Z1" s="2"/>
    </row>
    <row r="2">
      <c r="A2" s="6" t="s">
        <v>38</v>
      </c>
      <c r="B2" s="6">
        <f t="shared" ref="B2:B5" si="1">C2+D2</f>
        <v>33</v>
      </c>
      <c r="C2" s="6">
        <f>COUNTIF(Candidatos!$B:$B,$A2)</f>
        <v>23</v>
      </c>
      <c r="D2" s="6">
        <f>COUNTIFS(Descartados!$B:$B,$A2,Descartados!$I:$I,"&lt;&gt;Reincluir")</f>
        <v>10</v>
      </c>
      <c r="E2" s="6">
        <f>COUNTIFS(Candidatos!$B:$B,$A2,Candidatos!$G:$G,"Decisão")</f>
        <v>8</v>
      </c>
      <c r="F2" s="6">
        <f>COUNTIFS(Candidatos!$B:$B,$A2,Candidatos!$G:$G,"Falha")</f>
        <v>5</v>
      </c>
      <c r="G2" s="6">
        <f>COUNTIFS(Candidatos!$B:$B,$A2,Candidatos!$G:$G,"Decisão e falha")</f>
        <v>8</v>
      </c>
      <c r="H2" s="6">
        <f>COUNTIFS(Candidatos!$B:$B,$A2,Candidatos!$I:$I,"&lt;&gt;")</f>
        <v>7</v>
      </c>
      <c r="I2" s="6">
        <f>COUNTIFS(Candidatos!$B:$B,$A2,Candidatos!$K:$K,"regra de negócio")</f>
        <v>9</v>
      </c>
      <c r="J2" s="6">
        <f>COUNTIFS(Candidatos!$B:$B,$A2,Candidatos!$K:$K,"infraestrutura (excluída)")</f>
        <v>13</v>
      </c>
      <c r="K2" s="6">
        <f>COUNTIFS(Candidatos!$B:$B,$A2,Candidatos!$K:$K,"a discutir")</f>
        <v>1</v>
      </c>
      <c r="L2" s="6">
        <f>COUNTIFS(Candidatos!$B:$B,$A2,Candidatos!$L:$L,"Validado")</f>
        <v>20</v>
      </c>
      <c r="M2" s="6">
        <f t="shared" ref="M2:M5" si="2">C2-L2</f>
        <v>3</v>
      </c>
      <c r="N2" s="6">
        <f>COUNTIFS(Candidatos!$B:$B,$A2,Candidatos!$P:$P,"Sim")+COUNTIFS(Candidatos!$B:$B,$A2,Candidatos!$P:$P,"Não")</f>
        <v>0</v>
      </c>
      <c r="O2" s="6">
        <f>COUNTIFS(Candidatos!$B:$B,$A2,Candidatos!$P:$P,"Sim")</f>
        <v>0</v>
      </c>
      <c r="P2" s="2"/>
      <c r="Q2" s="2"/>
      <c r="R2" s="2"/>
      <c r="S2" s="2"/>
      <c r="T2" s="2"/>
      <c r="U2" s="2"/>
      <c r="V2" s="2"/>
      <c r="W2" s="2"/>
      <c r="X2" s="2"/>
      <c r="Y2" s="2"/>
      <c r="Z2" s="2"/>
    </row>
    <row r="3">
      <c r="A3" s="6" t="s">
        <v>39</v>
      </c>
      <c r="B3" s="6">
        <f t="shared" si="1"/>
        <v>70</v>
      </c>
      <c r="C3" s="6">
        <f>COUNTIF(Candidatos!$B:$B,$A3)</f>
        <v>57</v>
      </c>
      <c r="D3" s="6">
        <f>COUNTIFS(Descartados!$B:$B,$A3,Descartados!$I:$I,"&lt;&gt;Reincluir")</f>
        <v>13</v>
      </c>
      <c r="E3" s="6">
        <f>COUNTIFS(Candidatos!$B:$B,$A3,Candidatos!$G:$G,"Decisão")</f>
        <v>11</v>
      </c>
      <c r="F3" s="6">
        <f>COUNTIFS(Candidatos!$B:$B,$A3,Candidatos!$G:$G,"Falha")</f>
        <v>23</v>
      </c>
      <c r="G3" s="6">
        <f>COUNTIFS(Candidatos!$B:$B,$A3,Candidatos!$G:$G,"Decisão e falha")</f>
        <v>20</v>
      </c>
      <c r="H3" s="6">
        <f>COUNTIFS(Candidatos!$B:$B,$A3,Candidatos!$I:$I,"&lt;&gt;")</f>
        <v>20</v>
      </c>
      <c r="I3" s="6">
        <f>COUNTIFS(Candidatos!$B:$B,$A3,Candidatos!$K:$K,"regra de negócio")</f>
        <v>9</v>
      </c>
      <c r="J3" s="6">
        <f>COUNTIFS(Candidatos!$B:$B,$A3,Candidatos!$K:$K,"infraestrutura (excluída)")</f>
        <v>43</v>
      </c>
      <c r="K3" s="6">
        <f>COUNTIFS(Candidatos!$B:$B,$A3,Candidatos!$K:$K,"a discutir")</f>
        <v>5</v>
      </c>
      <c r="L3" s="6">
        <f>COUNTIFS(Candidatos!$B:$B,$A3,Candidatos!$L:$L,"Validado")</f>
        <v>45</v>
      </c>
      <c r="M3" s="6">
        <f t="shared" si="2"/>
        <v>12</v>
      </c>
      <c r="N3" s="6">
        <f>COUNTIFS(Candidatos!$B:$B,$A3,Candidatos!$P:$P,"Sim")+COUNTIFS(Candidatos!$B:$B,$A3,Candidatos!$P:$P,"Não")</f>
        <v>0</v>
      </c>
      <c r="O3" s="6">
        <f>COUNTIFS(Candidatos!$B:$B,$A3,Candidatos!$P:$P,"Sim")</f>
        <v>0</v>
      </c>
      <c r="P3" s="2"/>
      <c r="Q3" s="2"/>
      <c r="R3" s="2"/>
      <c r="S3" s="2"/>
      <c r="T3" s="2"/>
      <c r="U3" s="2"/>
      <c r="V3" s="2"/>
      <c r="W3" s="2"/>
      <c r="X3" s="2"/>
      <c r="Y3" s="2"/>
      <c r="Z3" s="2"/>
    </row>
    <row r="4">
      <c r="A4" s="6" t="s">
        <v>40</v>
      </c>
      <c r="B4" s="6">
        <f t="shared" si="1"/>
        <v>43</v>
      </c>
      <c r="C4" s="6">
        <f>COUNTIF(Candidatos!$B:$B,$A4)</f>
        <v>31</v>
      </c>
      <c r="D4" s="6">
        <f>COUNTIFS(Descartados!$B:$B,$A4,Descartados!$I:$I,"&lt;&gt;Reincluir")</f>
        <v>12</v>
      </c>
      <c r="E4" s="6">
        <f>COUNTIFS(Candidatos!$B:$B,$A4,Candidatos!$G:$G,"Decisão")</f>
        <v>16</v>
      </c>
      <c r="F4" s="6">
        <f>COUNTIFS(Candidatos!$B:$B,$A4,Candidatos!$G:$G,"Falha")</f>
        <v>7</v>
      </c>
      <c r="G4" s="6">
        <f>COUNTIFS(Candidatos!$B:$B,$A4,Candidatos!$G:$G,"Decisão e falha")</f>
        <v>8</v>
      </c>
      <c r="H4" s="6">
        <f>COUNTIFS(Candidatos!$B:$B,$A4,Candidatos!$I:$I,"&lt;&gt;")</f>
        <v>8</v>
      </c>
      <c r="I4" s="6">
        <f>COUNTIFS(Candidatos!$B:$B,$A4,Candidatos!$K:$K,"regra de negócio")</f>
        <v>9</v>
      </c>
      <c r="J4" s="6">
        <f>COUNTIFS(Candidatos!$B:$B,$A4,Candidatos!$K:$K,"infraestrutura (excluída)")</f>
        <v>15</v>
      </c>
      <c r="K4" s="6">
        <f>COUNTIFS(Candidatos!$B:$B,$A4,Candidatos!$K:$K,"a discutir")</f>
        <v>7</v>
      </c>
      <c r="L4" s="6">
        <f>COUNTIFS(Candidatos!$B:$B,$A4,Candidatos!$L:$L,"Validado")</f>
        <v>15</v>
      </c>
      <c r="M4" s="6">
        <f t="shared" si="2"/>
        <v>16</v>
      </c>
      <c r="N4" s="6">
        <f>COUNTIFS(Candidatos!$B:$B,$A4,Candidatos!$P:$P,"Sim")+COUNTIFS(Candidatos!$B:$B,$A4,Candidatos!$P:$P,"Não")</f>
        <v>0</v>
      </c>
      <c r="O4" s="6">
        <f>COUNTIFS(Candidatos!$B:$B,$A4,Candidatos!$P:$P,"Sim")</f>
        <v>0</v>
      </c>
      <c r="P4" s="2"/>
      <c r="Q4" s="2"/>
      <c r="R4" s="2"/>
      <c r="S4" s="2"/>
      <c r="T4" s="2"/>
      <c r="U4" s="2"/>
      <c r="V4" s="2"/>
      <c r="W4" s="2"/>
      <c r="X4" s="2"/>
      <c r="Y4" s="2"/>
      <c r="Z4" s="2"/>
    </row>
    <row r="5">
      <c r="A5" s="6" t="s">
        <v>41</v>
      </c>
      <c r="B5" s="6">
        <f t="shared" si="1"/>
        <v>49</v>
      </c>
      <c r="C5" s="6">
        <f>COUNTIF(Candidatos!$B:$B,$A5)</f>
        <v>33</v>
      </c>
      <c r="D5" s="6">
        <f>COUNTIFS(Descartados!$B:$B,$A5,Descartados!$I:$I,"&lt;&gt;Reincluir")</f>
        <v>16</v>
      </c>
      <c r="E5" s="6">
        <f>COUNTIFS(Candidatos!$B:$B,$A5,Candidatos!$G:$G,"Decisão")</f>
        <v>18</v>
      </c>
      <c r="F5" s="6">
        <f>COUNTIFS(Candidatos!$B:$B,$A5,Candidatos!$G:$G,"Falha")</f>
        <v>8</v>
      </c>
      <c r="G5" s="6">
        <f>COUNTIFS(Candidatos!$B:$B,$A5,Candidatos!$G:$G,"Decisão e falha")</f>
        <v>7</v>
      </c>
      <c r="H5" s="6">
        <f>COUNTIFS(Candidatos!$B:$B,$A5,Candidatos!$I:$I,"&lt;&gt;")</f>
        <v>12</v>
      </c>
      <c r="I5" s="6">
        <f>COUNTIFS(Candidatos!$B:$B,$A5,Candidatos!$K:$K,"regra de negócio")</f>
        <v>11</v>
      </c>
      <c r="J5" s="6">
        <f>COUNTIFS(Candidatos!$B:$B,$A5,Candidatos!$K:$K,"infraestrutura (excluída)")</f>
        <v>15</v>
      </c>
      <c r="K5" s="6">
        <f>COUNTIFS(Candidatos!$B:$B,$A5,Candidatos!$K:$K,"a discutir")</f>
        <v>7</v>
      </c>
      <c r="L5" s="6">
        <f>COUNTIFS(Candidatos!$B:$B,$A5,Candidatos!$L:$L,"Validado")</f>
        <v>15</v>
      </c>
      <c r="M5" s="6">
        <f t="shared" si="2"/>
        <v>18</v>
      </c>
      <c r="N5" s="6">
        <f>COUNTIFS(Candidatos!$B:$B,$A5,Candidatos!$P:$P,"Sim")+COUNTIFS(Candidatos!$B:$B,$A5,Candidatos!$P:$P,"Não")</f>
        <v>0</v>
      </c>
      <c r="O5" s="6">
        <f>COUNTIFS(Candidatos!$B:$B,$A5,Candidatos!$P:$P,"Sim")</f>
        <v>0</v>
      </c>
      <c r="P5" s="2"/>
      <c r="Q5" s="2"/>
      <c r="R5" s="2"/>
      <c r="S5" s="2"/>
      <c r="T5" s="2"/>
      <c r="U5" s="2"/>
      <c r="V5" s="2"/>
      <c r="W5" s="2"/>
      <c r="X5" s="2"/>
      <c r="Y5" s="2"/>
      <c r="Z5" s="2"/>
    </row>
    <row r="6">
      <c r="A6" s="7" t="s">
        <v>42</v>
      </c>
      <c r="B6" s="7">
        <f t="shared" ref="B6:O6" si="3">SUM(B2:B5)</f>
        <v>195</v>
      </c>
      <c r="C6" s="7">
        <f t="shared" si="3"/>
        <v>144</v>
      </c>
      <c r="D6" s="7">
        <f t="shared" si="3"/>
        <v>51</v>
      </c>
      <c r="E6" s="7">
        <f t="shared" si="3"/>
        <v>53</v>
      </c>
      <c r="F6" s="7">
        <f t="shared" si="3"/>
        <v>43</v>
      </c>
      <c r="G6" s="7">
        <f t="shared" si="3"/>
        <v>43</v>
      </c>
      <c r="H6" s="7">
        <f t="shared" si="3"/>
        <v>47</v>
      </c>
      <c r="I6" s="7">
        <f t="shared" si="3"/>
        <v>38</v>
      </c>
      <c r="J6" s="7">
        <f t="shared" si="3"/>
        <v>86</v>
      </c>
      <c r="K6" s="7">
        <f t="shared" si="3"/>
        <v>20</v>
      </c>
      <c r="L6" s="7">
        <f t="shared" si="3"/>
        <v>95</v>
      </c>
      <c r="M6" s="7">
        <f t="shared" si="3"/>
        <v>49</v>
      </c>
      <c r="N6" s="7">
        <f t="shared" si="3"/>
        <v>0</v>
      </c>
      <c r="O6" s="7">
        <f t="shared" si="3"/>
        <v>0</v>
      </c>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8" t="s">
        <v>43</v>
      </c>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7.29"/>
    <col customWidth="1" min="2" max="2" width="15.43"/>
    <col customWidth="1" min="3" max="4" width="11.0"/>
    <col customWidth="1" min="5" max="5" width="60.0"/>
    <col customWidth="1" min="6" max="6" width="72.0"/>
    <col customWidth="1" min="7" max="8" width="15.0"/>
    <col customWidth="1" min="9" max="9" width="24.0"/>
    <col customWidth="1" min="10" max="10" width="50.0"/>
    <col customWidth="1" min="11" max="11" width="20.0"/>
    <col customWidth="1" min="12" max="12" width="12.0"/>
    <col customWidth="1" min="13" max="13" width="32.86"/>
    <col customWidth="1" min="14" max="14" width="15.0"/>
    <col customWidth="1" min="15" max="15" width="17.86"/>
    <col customWidth="1" min="16" max="16" width="20.0"/>
  </cols>
  <sheetData>
    <row r="1" ht="60.75" customHeight="1">
      <c r="A1" s="5" t="s">
        <v>44</v>
      </c>
      <c r="B1" s="5" t="s">
        <v>23</v>
      </c>
      <c r="C1" s="5" t="s">
        <v>45</v>
      </c>
      <c r="D1" s="5" t="s">
        <v>46</v>
      </c>
      <c r="E1" s="5" t="s">
        <v>47</v>
      </c>
      <c r="F1" s="5" t="s">
        <v>48</v>
      </c>
      <c r="G1" s="5" t="s">
        <v>49</v>
      </c>
      <c r="H1" s="5" t="s">
        <v>50</v>
      </c>
      <c r="I1" s="5" t="s">
        <v>13</v>
      </c>
      <c r="J1" s="5" t="s">
        <v>51</v>
      </c>
      <c r="K1" s="5" t="s">
        <v>52</v>
      </c>
      <c r="L1" s="5" t="s">
        <v>53</v>
      </c>
      <c r="M1" s="5" t="s">
        <v>54</v>
      </c>
      <c r="N1" s="5" t="s">
        <v>55</v>
      </c>
      <c r="O1" s="5" t="s">
        <v>56</v>
      </c>
      <c r="P1" s="5" t="s">
        <v>57</v>
      </c>
      <c r="Q1" s="2"/>
      <c r="R1" s="2"/>
      <c r="S1" s="2"/>
      <c r="T1" s="2"/>
      <c r="U1" s="2"/>
      <c r="V1" s="2"/>
      <c r="W1" s="2"/>
      <c r="X1" s="2"/>
      <c r="Y1" s="2"/>
      <c r="Z1" s="2"/>
    </row>
    <row r="2" hidden="1">
      <c r="A2" s="4" t="s">
        <v>58</v>
      </c>
      <c r="B2" s="4" t="s">
        <v>38</v>
      </c>
      <c r="C2" s="4" t="s">
        <v>59</v>
      </c>
      <c r="D2" s="4" t="s">
        <v>60</v>
      </c>
      <c r="E2" s="4" t="s">
        <v>61</v>
      </c>
      <c r="F2" s="9" t="s">
        <v>62</v>
      </c>
      <c r="G2" s="4" t="s">
        <v>28</v>
      </c>
      <c r="H2" s="4" t="s">
        <v>63</v>
      </c>
      <c r="I2" s="4"/>
      <c r="J2" s="10"/>
      <c r="K2" s="11" t="s">
        <v>64</v>
      </c>
      <c r="L2" s="12" t="s">
        <v>65</v>
      </c>
      <c r="M2" s="11" t="s">
        <v>66</v>
      </c>
      <c r="N2" s="4">
        <v>0.0</v>
      </c>
      <c r="O2" s="12"/>
      <c r="P2" s="12"/>
      <c r="Q2" s="2"/>
      <c r="R2" s="2"/>
      <c r="S2" s="2"/>
      <c r="T2" s="2"/>
      <c r="U2" s="2"/>
      <c r="V2" s="2"/>
      <c r="W2" s="2"/>
      <c r="X2" s="2"/>
      <c r="Y2" s="2"/>
      <c r="Z2" s="2"/>
    </row>
    <row r="3" hidden="1">
      <c r="A3" s="4" t="s">
        <v>67</v>
      </c>
      <c r="B3" s="4" t="s">
        <v>38</v>
      </c>
      <c r="C3" s="4" t="s">
        <v>68</v>
      </c>
      <c r="D3" s="4" t="s">
        <v>69</v>
      </c>
      <c r="E3" s="4" t="s">
        <v>70</v>
      </c>
      <c r="F3" s="9" t="s">
        <v>71</v>
      </c>
      <c r="G3" s="4" t="s">
        <v>29</v>
      </c>
      <c r="H3" s="4" t="s">
        <v>72</v>
      </c>
      <c r="I3" s="4"/>
      <c r="J3" s="11" t="s">
        <v>73</v>
      </c>
      <c r="K3" s="11" t="s">
        <v>74</v>
      </c>
      <c r="L3" s="12" t="s">
        <v>65</v>
      </c>
      <c r="M3" s="11" t="s">
        <v>75</v>
      </c>
      <c r="N3" s="4">
        <v>2.0</v>
      </c>
      <c r="O3" s="12"/>
      <c r="P3" s="12"/>
      <c r="Q3" s="2"/>
      <c r="R3" s="2"/>
      <c r="S3" s="2"/>
      <c r="T3" s="2"/>
      <c r="U3" s="2"/>
      <c r="V3" s="2"/>
      <c r="W3" s="2"/>
      <c r="X3" s="2"/>
      <c r="Y3" s="2"/>
      <c r="Z3" s="2"/>
    </row>
    <row r="4" hidden="1">
      <c r="A4" s="4" t="s">
        <v>76</v>
      </c>
      <c r="B4" s="4" t="s">
        <v>38</v>
      </c>
      <c r="C4" s="4" t="s">
        <v>77</v>
      </c>
      <c r="D4" s="4" t="s">
        <v>78</v>
      </c>
      <c r="E4" s="4" t="s">
        <v>79</v>
      </c>
      <c r="F4" s="9" t="s">
        <v>80</v>
      </c>
      <c r="G4" s="4" t="s">
        <v>27</v>
      </c>
      <c r="H4" s="4" t="s">
        <v>81</v>
      </c>
      <c r="I4" s="4"/>
      <c r="J4" s="11" t="s">
        <v>82</v>
      </c>
      <c r="K4" s="11" t="s">
        <v>74</v>
      </c>
      <c r="L4" s="12" t="s">
        <v>65</v>
      </c>
      <c r="M4" s="11" t="s">
        <v>83</v>
      </c>
      <c r="N4" s="4">
        <v>1.0</v>
      </c>
      <c r="O4" s="12"/>
      <c r="P4" s="12"/>
      <c r="Q4" s="2"/>
      <c r="R4" s="2"/>
      <c r="S4" s="2"/>
      <c r="T4" s="2"/>
      <c r="U4" s="2"/>
      <c r="V4" s="2"/>
      <c r="W4" s="2"/>
      <c r="X4" s="2"/>
      <c r="Y4" s="2"/>
      <c r="Z4" s="2"/>
    </row>
    <row r="5" hidden="1">
      <c r="A5" s="4" t="s">
        <v>84</v>
      </c>
      <c r="B5" s="4" t="s">
        <v>38</v>
      </c>
      <c r="C5" s="4" t="s">
        <v>85</v>
      </c>
      <c r="D5" s="4" t="s">
        <v>86</v>
      </c>
      <c r="E5" s="4" t="s">
        <v>87</v>
      </c>
      <c r="F5" s="9" t="s">
        <v>88</v>
      </c>
      <c r="G5" s="4" t="s">
        <v>27</v>
      </c>
      <c r="H5" s="4" t="s">
        <v>81</v>
      </c>
      <c r="I5" s="4" t="s">
        <v>89</v>
      </c>
      <c r="J5" s="11" t="s">
        <v>90</v>
      </c>
      <c r="K5" s="11" t="s">
        <v>74</v>
      </c>
      <c r="L5" s="12" t="s">
        <v>65</v>
      </c>
      <c r="M5" s="11" t="s">
        <v>91</v>
      </c>
      <c r="N5" s="4">
        <v>2.0</v>
      </c>
      <c r="O5" s="12"/>
      <c r="P5" s="12"/>
      <c r="Q5" s="2"/>
      <c r="R5" s="2"/>
      <c r="S5" s="2"/>
      <c r="T5" s="2"/>
      <c r="U5" s="2"/>
      <c r="V5" s="2"/>
      <c r="W5" s="2"/>
      <c r="X5" s="2"/>
      <c r="Y5" s="2"/>
      <c r="Z5" s="2"/>
    </row>
    <row r="6" hidden="1">
      <c r="A6" s="4" t="s">
        <v>92</v>
      </c>
      <c r="B6" s="4" t="s">
        <v>38</v>
      </c>
      <c r="C6" s="4" t="s">
        <v>93</v>
      </c>
      <c r="D6" s="4" t="s">
        <v>94</v>
      </c>
      <c r="E6" s="4" t="s">
        <v>95</v>
      </c>
      <c r="F6" s="9" t="s">
        <v>96</v>
      </c>
      <c r="G6" s="4" t="s">
        <v>27</v>
      </c>
      <c r="H6" s="4" t="s">
        <v>81</v>
      </c>
      <c r="I6" s="4" t="s">
        <v>97</v>
      </c>
      <c r="J6" s="11" t="s">
        <v>98</v>
      </c>
      <c r="K6" s="11" t="s">
        <v>74</v>
      </c>
      <c r="L6" s="12" t="s">
        <v>65</v>
      </c>
      <c r="M6" s="11" t="s">
        <v>99</v>
      </c>
      <c r="N6" s="4">
        <v>1.0</v>
      </c>
      <c r="O6" s="12"/>
      <c r="P6" s="12"/>
      <c r="Q6" s="2"/>
      <c r="R6" s="2"/>
      <c r="S6" s="2"/>
      <c r="T6" s="2"/>
      <c r="U6" s="2"/>
      <c r="V6" s="2"/>
      <c r="W6" s="2"/>
      <c r="X6" s="2"/>
      <c r="Y6" s="2"/>
      <c r="Z6" s="2"/>
    </row>
    <row r="7" hidden="1">
      <c r="A7" s="4" t="s">
        <v>100</v>
      </c>
      <c r="B7" s="4" t="s">
        <v>38</v>
      </c>
      <c r="C7" s="4" t="s">
        <v>101</v>
      </c>
      <c r="D7" s="4" t="s">
        <v>102</v>
      </c>
      <c r="E7" s="4" t="s">
        <v>103</v>
      </c>
      <c r="F7" s="9" t="s">
        <v>104</v>
      </c>
      <c r="G7" s="4" t="s">
        <v>28</v>
      </c>
      <c r="H7" s="4" t="s">
        <v>63</v>
      </c>
      <c r="I7" s="4"/>
      <c r="J7" s="10"/>
      <c r="K7" s="11" t="s">
        <v>64</v>
      </c>
      <c r="L7" s="12" t="s">
        <v>65</v>
      </c>
      <c r="M7" s="11" t="s">
        <v>105</v>
      </c>
      <c r="N7" s="4">
        <v>0.0</v>
      </c>
      <c r="O7" s="12"/>
      <c r="P7" s="12"/>
      <c r="Q7" s="2"/>
      <c r="R7" s="2"/>
      <c r="S7" s="2"/>
      <c r="T7" s="2"/>
      <c r="U7" s="2"/>
      <c r="V7" s="2"/>
      <c r="W7" s="2"/>
      <c r="X7" s="2"/>
      <c r="Y7" s="2"/>
      <c r="Z7" s="2"/>
    </row>
    <row r="8" hidden="1">
      <c r="A8" s="4" t="s">
        <v>106</v>
      </c>
      <c r="B8" s="4" t="s">
        <v>38</v>
      </c>
      <c r="C8" s="4" t="s">
        <v>107</v>
      </c>
      <c r="D8" s="4" t="s">
        <v>108</v>
      </c>
      <c r="E8" s="4" t="s">
        <v>109</v>
      </c>
      <c r="F8" s="9" t="s">
        <v>110</v>
      </c>
      <c r="G8" s="4" t="s">
        <v>29</v>
      </c>
      <c r="H8" s="4" t="s">
        <v>72</v>
      </c>
      <c r="I8" s="4"/>
      <c r="J8" s="11"/>
      <c r="K8" s="11" t="s">
        <v>64</v>
      </c>
      <c r="L8" s="12" t="s">
        <v>65</v>
      </c>
      <c r="M8" s="11" t="s">
        <v>111</v>
      </c>
      <c r="N8" s="4">
        <v>1.0</v>
      </c>
      <c r="O8" s="12"/>
      <c r="P8" s="12"/>
      <c r="Q8" s="2"/>
      <c r="R8" s="2"/>
      <c r="S8" s="2"/>
      <c r="T8" s="2"/>
      <c r="U8" s="2"/>
      <c r="V8" s="2"/>
      <c r="W8" s="2"/>
      <c r="X8" s="2"/>
      <c r="Y8" s="2"/>
      <c r="Z8" s="2"/>
    </row>
    <row r="9" hidden="1">
      <c r="A9" s="4" t="s">
        <v>112</v>
      </c>
      <c r="B9" s="4" t="s">
        <v>38</v>
      </c>
      <c r="C9" s="4" t="s">
        <v>113</v>
      </c>
      <c r="D9" s="4" t="s">
        <v>114</v>
      </c>
      <c r="E9" s="4" t="s">
        <v>115</v>
      </c>
      <c r="F9" s="9" t="s">
        <v>116</v>
      </c>
      <c r="G9" s="4" t="s">
        <v>27</v>
      </c>
      <c r="H9" s="4" t="s">
        <v>81</v>
      </c>
      <c r="I9" s="4"/>
      <c r="J9" s="11" t="s">
        <v>117</v>
      </c>
      <c r="K9" s="11" t="s">
        <v>74</v>
      </c>
      <c r="L9" s="12" t="s">
        <v>65</v>
      </c>
      <c r="M9" s="11" t="s">
        <v>118</v>
      </c>
      <c r="N9" s="4">
        <v>1.0</v>
      </c>
      <c r="O9" s="12"/>
      <c r="P9" s="12"/>
      <c r="Q9" s="2"/>
      <c r="R9" s="2"/>
      <c r="S9" s="2"/>
      <c r="T9" s="2"/>
      <c r="U9" s="2"/>
      <c r="V9" s="2"/>
      <c r="W9" s="2"/>
      <c r="X9" s="2"/>
      <c r="Y9" s="2"/>
      <c r="Z9" s="2"/>
    </row>
    <row r="10" hidden="1">
      <c r="A10" s="4" t="s">
        <v>119</v>
      </c>
      <c r="B10" s="4" t="s">
        <v>38</v>
      </c>
      <c r="C10" s="4" t="s">
        <v>120</v>
      </c>
      <c r="D10" s="4" t="s">
        <v>121</v>
      </c>
      <c r="E10" s="4" t="s">
        <v>122</v>
      </c>
      <c r="F10" s="9" t="s">
        <v>123</v>
      </c>
      <c r="G10" s="4" t="s">
        <v>27</v>
      </c>
      <c r="H10" s="4" t="s">
        <v>81</v>
      </c>
      <c r="I10" s="4"/>
      <c r="J10" s="11" t="s">
        <v>124</v>
      </c>
      <c r="K10" s="11" t="s">
        <v>74</v>
      </c>
      <c r="L10" s="12" t="s">
        <v>65</v>
      </c>
      <c r="M10" s="11" t="s">
        <v>125</v>
      </c>
      <c r="N10" s="4">
        <v>1.0</v>
      </c>
      <c r="O10" s="12"/>
      <c r="P10" s="12"/>
      <c r="Q10" s="2"/>
      <c r="R10" s="2"/>
      <c r="S10" s="2"/>
      <c r="T10" s="2"/>
      <c r="U10" s="2"/>
      <c r="V10" s="2"/>
      <c r="W10" s="2"/>
      <c r="X10" s="2"/>
      <c r="Y10" s="2"/>
      <c r="Z10" s="2"/>
    </row>
    <row r="11" hidden="1">
      <c r="A11" s="4" t="s">
        <v>126</v>
      </c>
      <c r="B11" s="4" t="s">
        <v>38</v>
      </c>
      <c r="C11" s="4" t="s">
        <v>127</v>
      </c>
      <c r="D11" s="4" t="s">
        <v>128</v>
      </c>
      <c r="E11" s="4" t="s">
        <v>129</v>
      </c>
      <c r="F11" s="9" t="s">
        <v>130</v>
      </c>
      <c r="G11" s="4" t="s">
        <v>27</v>
      </c>
      <c r="H11" s="4" t="s">
        <v>81</v>
      </c>
      <c r="I11" s="4"/>
      <c r="J11" s="11" t="s">
        <v>131</v>
      </c>
      <c r="K11" s="11" t="s">
        <v>74</v>
      </c>
      <c r="L11" s="12" t="s">
        <v>65</v>
      </c>
      <c r="M11" s="11" t="s">
        <v>132</v>
      </c>
      <c r="N11" s="4">
        <v>1.0</v>
      </c>
      <c r="O11" s="12"/>
      <c r="P11" s="12"/>
      <c r="Q11" s="2"/>
      <c r="R11" s="2"/>
      <c r="S11" s="2"/>
      <c r="T11" s="2"/>
      <c r="U11" s="2"/>
      <c r="V11" s="2"/>
      <c r="W11" s="2"/>
      <c r="X11" s="2"/>
      <c r="Y11" s="2"/>
      <c r="Z11" s="2"/>
    </row>
    <row r="12" hidden="1">
      <c r="A12" s="4" t="s">
        <v>133</v>
      </c>
      <c r="B12" s="4" t="s">
        <v>38</v>
      </c>
      <c r="C12" s="4" t="s">
        <v>134</v>
      </c>
      <c r="D12" s="4" t="s">
        <v>135</v>
      </c>
      <c r="E12" s="4" t="s">
        <v>136</v>
      </c>
      <c r="F12" s="9" t="s">
        <v>137</v>
      </c>
      <c r="G12" s="4" t="s">
        <v>29</v>
      </c>
      <c r="H12" s="4" t="s">
        <v>72</v>
      </c>
      <c r="I12" s="4" t="s">
        <v>138</v>
      </c>
      <c r="J12" s="10"/>
      <c r="K12" s="11" t="s">
        <v>64</v>
      </c>
      <c r="L12" s="12" t="s">
        <v>65</v>
      </c>
      <c r="M12" s="11" t="s">
        <v>139</v>
      </c>
      <c r="N12" s="4">
        <v>1.0</v>
      </c>
      <c r="O12" s="12"/>
      <c r="P12" s="12"/>
      <c r="Q12" s="2"/>
      <c r="R12" s="2"/>
      <c r="S12" s="2"/>
      <c r="T12" s="2"/>
      <c r="U12" s="2"/>
      <c r="V12" s="2"/>
      <c r="W12" s="2"/>
      <c r="X12" s="2"/>
      <c r="Y12" s="2"/>
      <c r="Z12" s="2"/>
    </row>
    <row r="13" hidden="1">
      <c r="A13" s="4" t="s">
        <v>140</v>
      </c>
      <c r="B13" s="4" t="s">
        <v>38</v>
      </c>
      <c r="C13" s="4" t="s">
        <v>141</v>
      </c>
      <c r="D13" s="4" t="s">
        <v>142</v>
      </c>
      <c r="E13" s="4" t="s">
        <v>143</v>
      </c>
      <c r="F13" s="9" t="s">
        <v>144</v>
      </c>
      <c r="G13" s="4" t="s">
        <v>29</v>
      </c>
      <c r="H13" s="4" t="s">
        <v>72</v>
      </c>
      <c r="I13" s="4"/>
      <c r="J13" s="10"/>
      <c r="K13" s="11" t="s">
        <v>64</v>
      </c>
      <c r="L13" s="12" t="s">
        <v>65</v>
      </c>
      <c r="M13" s="11" t="s">
        <v>145</v>
      </c>
      <c r="N13" s="4">
        <v>1.0</v>
      </c>
      <c r="O13" s="12"/>
      <c r="P13" s="12"/>
      <c r="Q13" s="2"/>
      <c r="R13" s="2"/>
      <c r="S13" s="2"/>
      <c r="T13" s="2"/>
      <c r="U13" s="2"/>
      <c r="V13" s="2"/>
      <c r="W13" s="2"/>
      <c r="X13" s="2"/>
      <c r="Y13" s="2"/>
      <c r="Z13" s="2"/>
    </row>
    <row r="14" hidden="1">
      <c r="A14" s="4" t="s">
        <v>146</v>
      </c>
      <c r="B14" s="4" t="s">
        <v>38</v>
      </c>
      <c r="C14" s="4" t="s">
        <v>147</v>
      </c>
      <c r="D14" s="4" t="s">
        <v>148</v>
      </c>
      <c r="E14" s="4" t="s">
        <v>149</v>
      </c>
      <c r="F14" s="9" t="s">
        <v>150</v>
      </c>
      <c r="G14" s="4" t="s">
        <v>28</v>
      </c>
      <c r="H14" s="4" t="s">
        <v>63</v>
      </c>
      <c r="I14" s="4"/>
      <c r="J14" s="10"/>
      <c r="K14" s="11" t="s">
        <v>64</v>
      </c>
      <c r="L14" s="12" t="s">
        <v>65</v>
      </c>
      <c r="M14" s="11" t="s">
        <v>151</v>
      </c>
      <c r="N14" s="4">
        <v>0.0</v>
      </c>
      <c r="O14" s="12"/>
      <c r="P14" s="12"/>
      <c r="Q14" s="2"/>
      <c r="R14" s="2"/>
      <c r="S14" s="2"/>
      <c r="T14" s="2"/>
      <c r="U14" s="2"/>
      <c r="V14" s="2"/>
      <c r="W14" s="2"/>
      <c r="X14" s="2"/>
      <c r="Y14" s="2"/>
      <c r="Z14" s="2"/>
    </row>
    <row r="15" hidden="1">
      <c r="A15" s="4" t="s">
        <v>152</v>
      </c>
      <c r="B15" s="4" t="s">
        <v>38</v>
      </c>
      <c r="C15" s="4" t="s">
        <v>153</v>
      </c>
      <c r="D15" s="4" t="s">
        <v>154</v>
      </c>
      <c r="E15" s="4" t="s">
        <v>155</v>
      </c>
      <c r="F15" s="9" t="s">
        <v>156</v>
      </c>
      <c r="G15" s="4" t="s">
        <v>28</v>
      </c>
      <c r="H15" s="4" t="s">
        <v>63</v>
      </c>
      <c r="I15" s="4" t="s">
        <v>138</v>
      </c>
      <c r="J15" s="11"/>
      <c r="K15" s="11" t="s">
        <v>64</v>
      </c>
      <c r="L15" s="11" t="s">
        <v>65</v>
      </c>
      <c r="M15" s="11" t="s">
        <v>157</v>
      </c>
      <c r="N15" s="4">
        <v>0.0</v>
      </c>
      <c r="O15" s="12"/>
      <c r="P15" s="12"/>
      <c r="Q15" s="2"/>
      <c r="R15" s="2"/>
      <c r="S15" s="2"/>
      <c r="T15" s="2"/>
      <c r="U15" s="2"/>
      <c r="V15" s="2"/>
      <c r="W15" s="2"/>
      <c r="X15" s="2"/>
      <c r="Y15" s="2"/>
      <c r="Z15" s="2"/>
    </row>
    <row r="16">
      <c r="A16" s="4" t="s">
        <v>158</v>
      </c>
      <c r="B16" s="4" t="s">
        <v>38</v>
      </c>
      <c r="C16" s="4" t="s">
        <v>159</v>
      </c>
      <c r="D16" s="4" t="s">
        <v>160</v>
      </c>
      <c r="E16" s="4" t="s">
        <v>161</v>
      </c>
      <c r="F16" s="9" t="s">
        <v>162</v>
      </c>
      <c r="G16" s="4" t="s">
        <v>27</v>
      </c>
      <c r="H16" s="4" t="s">
        <v>163</v>
      </c>
      <c r="I16" s="4" t="s">
        <v>164</v>
      </c>
      <c r="J16" s="10" t="s">
        <v>165</v>
      </c>
      <c r="K16" s="10" t="s">
        <v>74</v>
      </c>
      <c r="L16" s="12" t="s">
        <v>166</v>
      </c>
      <c r="M16" s="10" t="s">
        <v>167</v>
      </c>
      <c r="N16" s="4">
        <v>1.0</v>
      </c>
      <c r="O16" s="12"/>
      <c r="P16" s="12"/>
      <c r="Q16" s="2"/>
      <c r="R16" s="2"/>
      <c r="S16" s="2"/>
      <c r="T16" s="2"/>
      <c r="U16" s="2"/>
      <c r="V16" s="2"/>
      <c r="W16" s="2"/>
      <c r="X16" s="2"/>
      <c r="Y16" s="2"/>
      <c r="Z16" s="2"/>
    </row>
    <row r="17" hidden="1">
      <c r="A17" s="4" t="s">
        <v>168</v>
      </c>
      <c r="B17" s="4" t="s">
        <v>38</v>
      </c>
      <c r="C17" s="4" t="s">
        <v>169</v>
      </c>
      <c r="D17" s="4" t="s">
        <v>170</v>
      </c>
      <c r="E17" s="4" t="s">
        <v>171</v>
      </c>
      <c r="F17" s="9" t="s">
        <v>172</v>
      </c>
      <c r="G17" s="4" t="s">
        <v>29</v>
      </c>
      <c r="H17" s="4" t="s">
        <v>173</v>
      </c>
      <c r="I17" s="4"/>
      <c r="J17" s="10"/>
      <c r="K17" s="11" t="s">
        <v>64</v>
      </c>
      <c r="L17" s="12" t="s">
        <v>65</v>
      </c>
      <c r="M17" s="11" t="s">
        <v>174</v>
      </c>
      <c r="N17" s="4">
        <v>4.0</v>
      </c>
      <c r="O17" s="12"/>
      <c r="P17" s="12"/>
      <c r="Q17" s="2"/>
      <c r="R17" s="2"/>
      <c r="S17" s="2"/>
      <c r="T17" s="2"/>
      <c r="U17" s="2"/>
      <c r="V17" s="2"/>
      <c r="W17" s="2"/>
      <c r="X17" s="2"/>
      <c r="Y17" s="2"/>
      <c r="Z17" s="2"/>
    </row>
    <row r="18" hidden="1">
      <c r="A18" s="4" t="s">
        <v>175</v>
      </c>
      <c r="B18" s="4" t="s">
        <v>38</v>
      </c>
      <c r="C18" s="4" t="s">
        <v>176</v>
      </c>
      <c r="D18" s="4" t="s">
        <v>177</v>
      </c>
      <c r="E18" s="4" t="s">
        <v>178</v>
      </c>
      <c r="F18" s="9" t="s">
        <v>179</v>
      </c>
      <c r="G18" s="4" t="s">
        <v>27</v>
      </c>
      <c r="H18" s="4" t="s">
        <v>180</v>
      </c>
      <c r="I18" s="4"/>
      <c r="J18" s="10"/>
      <c r="K18" s="11" t="s">
        <v>64</v>
      </c>
      <c r="L18" s="12" t="s">
        <v>65</v>
      </c>
      <c r="M18" s="11" t="s">
        <v>181</v>
      </c>
      <c r="N18" s="4">
        <v>1.0</v>
      </c>
      <c r="O18" s="12"/>
      <c r="P18" s="12"/>
      <c r="Q18" s="2"/>
      <c r="R18" s="2"/>
      <c r="S18" s="2"/>
      <c r="T18" s="2"/>
      <c r="U18" s="2"/>
      <c r="V18" s="2"/>
      <c r="W18" s="2"/>
      <c r="X18" s="2"/>
      <c r="Y18" s="2"/>
      <c r="Z18" s="2"/>
    </row>
    <row r="19" hidden="1">
      <c r="A19" s="4" t="s">
        <v>182</v>
      </c>
      <c r="B19" s="4" t="s">
        <v>38</v>
      </c>
      <c r="C19" s="4" t="s">
        <v>183</v>
      </c>
      <c r="D19" s="4" t="s">
        <v>184</v>
      </c>
      <c r="E19" s="4" t="s">
        <v>185</v>
      </c>
      <c r="F19" s="9" t="s">
        <v>186</v>
      </c>
      <c r="G19" s="4" t="s">
        <v>29</v>
      </c>
      <c r="H19" s="4" t="s">
        <v>187</v>
      </c>
      <c r="I19" s="4" t="s">
        <v>138</v>
      </c>
      <c r="J19" s="10"/>
      <c r="K19" s="11" t="s">
        <v>64</v>
      </c>
      <c r="L19" s="12" t="s">
        <v>65</v>
      </c>
      <c r="M19" s="11" t="s">
        <v>188</v>
      </c>
      <c r="N19" s="4">
        <v>1.0</v>
      </c>
      <c r="O19" s="12"/>
      <c r="P19" s="12"/>
      <c r="Q19" s="2"/>
      <c r="R19" s="2"/>
      <c r="S19" s="2"/>
      <c r="T19" s="2"/>
      <c r="U19" s="2"/>
      <c r="V19" s="2"/>
      <c r="W19" s="2"/>
      <c r="X19" s="2"/>
      <c r="Y19" s="2"/>
      <c r="Z19" s="2"/>
    </row>
    <row r="20" hidden="1">
      <c r="A20" s="4" t="s">
        <v>189</v>
      </c>
      <c r="B20" s="4" t="s">
        <v>38</v>
      </c>
      <c r="C20" s="4" t="s">
        <v>190</v>
      </c>
      <c r="D20" s="4" t="s">
        <v>191</v>
      </c>
      <c r="E20" s="4" t="s">
        <v>192</v>
      </c>
      <c r="F20" s="9" t="s">
        <v>193</v>
      </c>
      <c r="G20" s="4" t="s">
        <v>29</v>
      </c>
      <c r="H20" s="4" t="s">
        <v>194</v>
      </c>
      <c r="I20" s="4"/>
      <c r="J20" s="10"/>
      <c r="K20" s="11" t="s">
        <v>64</v>
      </c>
      <c r="L20" s="12" t="s">
        <v>65</v>
      </c>
      <c r="M20" s="11" t="s">
        <v>195</v>
      </c>
      <c r="N20" s="4">
        <v>4.0</v>
      </c>
      <c r="O20" s="12"/>
      <c r="P20" s="12"/>
      <c r="Q20" s="2"/>
      <c r="R20" s="2"/>
      <c r="S20" s="2"/>
      <c r="T20" s="2"/>
      <c r="U20" s="2"/>
      <c r="V20" s="2"/>
      <c r="W20" s="2"/>
      <c r="X20" s="2"/>
      <c r="Y20" s="2"/>
      <c r="Z20" s="2"/>
    </row>
    <row r="21" ht="15.75" hidden="1" customHeight="1">
      <c r="A21" s="4" t="s">
        <v>196</v>
      </c>
      <c r="B21" s="4" t="s">
        <v>38</v>
      </c>
      <c r="C21" s="4" t="s">
        <v>197</v>
      </c>
      <c r="D21" s="4" t="s">
        <v>198</v>
      </c>
      <c r="E21" s="4" t="s">
        <v>149</v>
      </c>
      <c r="F21" s="9" t="s">
        <v>199</v>
      </c>
      <c r="G21" s="4" t="s">
        <v>28</v>
      </c>
      <c r="H21" s="4" t="s">
        <v>63</v>
      </c>
      <c r="I21" s="4"/>
      <c r="J21" s="10"/>
      <c r="K21" s="11" t="s">
        <v>64</v>
      </c>
      <c r="L21" s="12" t="s">
        <v>65</v>
      </c>
      <c r="M21" s="11" t="s">
        <v>151</v>
      </c>
      <c r="N21" s="4">
        <v>0.0</v>
      </c>
      <c r="O21" s="12"/>
      <c r="P21" s="12"/>
      <c r="Q21" s="2"/>
      <c r="R21" s="2"/>
      <c r="S21" s="2"/>
      <c r="T21" s="2"/>
      <c r="U21" s="2"/>
      <c r="V21" s="2"/>
      <c r="W21" s="2"/>
      <c r="X21" s="2"/>
      <c r="Y21" s="2"/>
      <c r="Z21" s="2"/>
    </row>
    <row r="22" ht="15.75" hidden="1" customHeight="1">
      <c r="A22" s="4" t="s">
        <v>200</v>
      </c>
      <c r="B22" s="4" t="s">
        <v>38</v>
      </c>
      <c r="C22" s="4" t="s">
        <v>201</v>
      </c>
      <c r="D22" s="4" t="s">
        <v>202</v>
      </c>
      <c r="E22" s="4" t="s">
        <v>155</v>
      </c>
      <c r="F22" s="9" t="s">
        <v>203</v>
      </c>
      <c r="G22" s="4" t="s">
        <v>29</v>
      </c>
      <c r="H22" s="4" t="s">
        <v>72</v>
      </c>
      <c r="I22" s="4" t="s">
        <v>204</v>
      </c>
      <c r="J22" s="10"/>
      <c r="K22" s="11" t="s">
        <v>64</v>
      </c>
      <c r="L22" s="13" t="s">
        <v>65</v>
      </c>
      <c r="M22" s="13" t="s">
        <v>205</v>
      </c>
      <c r="N22" s="4">
        <v>1.0</v>
      </c>
      <c r="O22" s="12"/>
      <c r="P22" s="12"/>
      <c r="Q22" s="2"/>
      <c r="R22" s="2"/>
      <c r="S22" s="2"/>
      <c r="T22" s="2"/>
      <c r="U22" s="2"/>
      <c r="V22" s="2"/>
      <c r="W22" s="2"/>
      <c r="X22" s="2"/>
      <c r="Y22" s="2"/>
      <c r="Z22" s="2"/>
    </row>
    <row r="23" ht="15.75" customHeight="1">
      <c r="A23" s="4" t="s">
        <v>206</v>
      </c>
      <c r="B23" s="4" t="s">
        <v>39</v>
      </c>
      <c r="C23" s="4" t="s">
        <v>207</v>
      </c>
      <c r="D23" s="4" t="s">
        <v>208</v>
      </c>
      <c r="E23" s="4" t="s">
        <v>209</v>
      </c>
      <c r="F23" s="9" t="s">
        <v>210</v>
      </c>
      <c r="G23" s="4" t="s">
        <v>27</v>
      </c>
      <c r="H23" s="4" t="s">
        <v>81</v>
      </c>
      <c r="I23" s="4"/>
      <c r="J23" s="10" t="s">
        <v>211</v>
      </c>
      <c r="K23" s="10" t="s">
        <v>74</v>
      </c>
      <c r="L23" s="12" t="s">
        <v>166</v>
      </c>
      <c r="M23" s="10" t="s">
        <v>212</v>
      </c>
      <c r="N23" s="4">
        <v>1.0</v>
      </c>
      <c r="O23" s="12"/>
      <c r="P23" s="12"/>
      <c r="Q23" s="2"/>
      <c r="R23" s="2"/>
      <c r="S23" s="2"/>
      <c r="T23" s="2"/>
      <c r="U23" s="2"/>
      <c r="V23" s="2"/>
      <c r="W23" s="2"/>
      <c r="X23" s="2"/>
      <c r="Y23" s="2"/>
      <c r="Z23" s="2"/>
    </row>
    <row r="24" ht="15.75" customHeight="1">
      <c r="A24" s="4" t="s">
        <v>213</v>
      </c>
      <c r="B24" s="4" t="s">
        <v>39</v>
      </c>
      <c r="C24" s="4" t="s">
        <v>214</v>
      </c>
      <c r="D24" s="4" t="s">
        <v>215</v>
      </c>
      <c r="E24" s="4" t="s">
        <v>216</v>
      </c>
      <c r="F24" s="9" t="s">
        <v>217</v>
      </c>
      <c r="G24" s="4" t="s">
        <v>27</v>
      </c>
      <c r="H24" s="4" t="s">
        <v>81</v>
      </c>
      <c r="I24" s="4"/>
      <c r="J24" s="10" t="s">
        <v>218</v>
      </c>
      <c r="K24" s="10" t="s">
        <v>74</v>
      </c>
      <c r="L24" s="12" t="s">
        <v>166</v>
      </c>
      <c r="M24" s="10" t="s">
        <v>219</v>
      </c>
      <c r="N24" s="4">
        <v>1.0</v>
      </c>
      <c r="O24" s="12"/>
      <c r="P24" s="12"/>
      <c r="Q24" s="2"/>
      <c r="R24" s="2"/>
      <c r="S24" s="2"/>
      <c r="T24" s="2"/>
      <c r="U24" s="2"/>
      <c r="V24" s="2"/>
      <c r="W24" s="2"/>
      <c r="X24" s="2"/>
      <c r="Y24" s="2"/>
      <c r="Z24" s="2"/>
    </row>
    <row r="25" ht="15.75" hidden="1" customHeight="1">
      <c r="A25" s="4" t="s">
        <v>220</v>
      </c>
      <c r="B25" s="4" t="s">
        <v>39</v>
      </c>
      <c r="C25" s="4" t="s">
        <v>221</v>
      </c>
      <c r="D25" s="4" t="s">
        <v>222</v>
      </c>
      <c r="E25" s="4" t="s">
        <v>149</v>
      </c>
      <c r="F25" s="9" t="s">
        <v>223</v>
      </c>
      <c r="G25" s="4" t="s">
        <v>28</v>
      </c>
      <c r="H25" s="4" t="s">
        <v>63</v>
      </c>
      <c r="I25" s="4"/>
      <c r="J25" s="10"/>
      <c r="K25" s="11" t="s">
        <v>64</v>
      </c>
      <c r="L25" s="13" t="s">
        <v>65</v>
      </c>
      <c r="M25" s="13" t="s">
        <v>224</v>
      </c>
      <c r="N25" s="4">
        <v>0.0</v>
      </c>
      <c r="O25" s="12"/>
      <c r="P25" s="12"/>
      <c r="Q25" s="2"/>
      <c r="R25" s="2"/>
      <c r="S25" s="2"/>
      <c r="T25" s="2"/>
      <c r="U25" s="2"/>
      <c r="V25" s="2"/>
      <c r="W25" s="2"/>
      <c r="X25" s="2"/>
      <c r="Y25" s="2"/>
      <c r="Z25" s="2"/>
    </row>
    <row r="26" ht="15.75" hidden="1" customHeight="1">
      <c r="A26" s="4" t="s">
        <v>225</v>
      </c>
      <c r="B26" s="4" t="s">
        <v>39</v>
      </c>
      <c r="C26" s="4" t="s">
        <v>226</v>
      </c>
      <c r="D26" s="4" t="s">
        <v>227</v>
      </c>
      <c r="E26" s="4" t="s">
        <v>155</v>
      </c>
      <c r="F26" s="9" t="s">
        <v>228</v>
      </c>
      <c r="G26" s="4" t="s">
        <v>29</v>
      </c>
      <c r="H26" s="4" t="s">
        <v>72</v>
      </c>
      <c r="I26" s="4" t="s">
        <v>138</v>
      </c>
      <c r="J26" s="10"/>
      <c r="K26" s="11" t="s">
        <v>64</v>
      </c>
      <c r="L26" s="13" t="s">
        <v>65</v>
      </c>
      <c r="M26" s="13" t="s">
        <v>229</v>
      </c>
      <c r="N26" s="4">
        <v>1.0</v>
      </c>
      <c r="O26" s="12"/>
      <c r="P26" s="12"/>
      <c r="Q26" s="2"/>
      <c r="R26" s="2"/>
      <c r="S26" s="2"/>
      <c r="T26" s="2"/>
      <c r="U26" s="2"/>
      <c r="V26" s="2"/>
      <c r="W26" s="2"/>
      <c r="X26" s="2"/>
      <c r="Y26" s="2"/>
      <c r="Z26" s="2"/>
    </row>
    <row r="27" ht="15.75" hidden="1" customHeight="1">
      <c r="A27" s="4" t="s">
        <v>230</v>
      </c>
      <c r="B27" s="4" t="s">
        <v>39</v>
      </c>
      <c r="C27" s="4" t="s">
        <v>231</v>
      </c>
      <c r="D27" s="4" t="s">
        <v>232</v>
      </c>
      <c r="E27" s="4" t="s">
        <v>233</v>
      </c>
      <c r="F27" s="9" t="s">
        <v>234</v>
      </c>
      <c r="G27" s="4" t="s">
        <v>27</v>
      </c>
      <c r="H27" s="4" t="s">
        <v>235</v>
      </c>
      <c r="I27" s="4" t="s">
        <v>236</v>
      </c>
      <c r="J27" s="10" t="s">
        <v>237</v>
      </c>
      <c r="K27" s="10" t="s">
        <v>238</v>
      </c>
      <c r="L27" s="12" t="s">
        <v>166</v>
      </c>
      <c r="M27" s="10" t="s">
        <v>239</v>
      </c>
      <c r="N27" s="4">
        <v>1.0</v>
      </c>
      <c r="O27" s="12"/>
      <c r="P27" s="12"/>
      <c r="Q27" s="2"/>
      <c r="R27" s="2"/>
      <c r="S27" s="2"/>
      <c r="T27" s="2"/>
      <c r="U27" s="2"/>
      <c r="V27" s="2"/>
      <c r="W27" s="2"/>
      <c r="X27" s="2"/>
      <c r="Y27" s="2"/>
      <c r="Z27" s="2"/>
    </row>
    <row r="28" ht="15.75" customHeight="1">
      <c r="A28" s="4" t="s">
        <v>240</v>
      </c>
      <c r="B28" s="4" t="s">
        <v>39</v>
      </c>
      <c r="C28" s="4" t="s">
        <v>241</v>
      </c>
      <c r="D28" s="4" t="s">
        <v>242</v>
      </c>
      <c r="E28" s="4" t="s">
        <v>243</v>
      </c>
      <c r="F28" s="9" t="s">
        <v>244</v>
      </c>
      <c r="G28" s="4" t="s">
        <v>27</v>
      </c>
      <c r="H28" s="4" t="s">
        <v>81</v>
      </c>
      <c r="I28" s="4"/>
      <c r="J28" s="10" t="s">
        <v>245</v>
      </c>
      <c r="K28" s="10" t="s">
        <v>74</v>
      </c>
      <c r="L28" s="12" t="s">
        <v>166</v>
      </c>
      <c r="M28" s="10" t="s">
        <v>246</v>
      </c>
      <c r="N28" s="4">
        <v>1.0</v>
      </c>
      <c r="O28" s="12"/>
      <c r="P28" s="12"/>
      <c r="Q28" s="2"/>
      <c r="R28" s="2"/>
      <c r="S28" s="2"/>
      <c r="T28" s="2"/>
      <c r="U28" s="2"/>
      <c r="V28" s="2"/>
      <c r="W28" s="2"/>
      <c r="X28" s="2"/>
      <c r="Y28" s="2"/>
      <c r="Z28" s="2"/>
    </row>
    <row r="29" ht="15.75" hidden="1" customHeight="1">
      <c r="A29" s="4" t="s">
        <v>247</v>
      </c>
      <c r="B29" s="4" t="s">
        <v>39</v>
      </c>
      <c r="C29" s="4" t="s">
        <v>248</v>
      </c>
      <c r="D29" s="4" t="s">
        <v>249</v>
      </c>
      <c r="E29" s="4" t="s">
        <v>250</v>
      </c>
      <c r="F29" s="9" t="s">
        <v>251</v>
      </c>
      <c r="G29" s="4" t="s">
        <v>29</v>
      </c>
      <c r="H29" s="4" t="s">
        <v>72</v>
      </c>
      <c r="I29" s="4"/>
      <c r="J29" s="10"/>
      <c r="K29" s="11" t="s">
        <v>64</v>
      </c>
      <c r="L29" s="13" t="s">
        <v>65</v>
      </c>
      <c r="M29" s="13" t="s">
        <v>252</v>
      </c>
      <c r="N29" s="4">
        <v>3.0</v>
      </c>
      <c r="O29" s="12"/>
      <c r="P29" s="12"/>
      <c r="Q29" s="2"/>
      <c r="R29" s="2"/>
      <c r="S29" s="2"/>
      <c r="T29" s="2"/>
      <c r="U29" s="2"/>
      <c r="V29" s="2"/>
      <c r="W29" s="2"/>
      <c r="X29" s="2"/>
      <c r="Y29" s="2"/>
      <c r="Z29" s="2"/>
    </row>
    <row r="30" ht="15.75" hidden="1" customHeight="1">
      <c r="A30" s="4" t="s">
        <v>253</v>
      </c>
      <c r="B30" s="4" t="s">
        <v>39</v>
      </c>
      <c r="C30" s="4" t="s">
        <v>254</v>
      </c>
      <c r="D30" s="4" t="s">
        <v>255</v>
      </c>
      <c r="E30" s="4" t="s">
        <v>149</v>
      </c>
      <c r="F30" s="9" t="s">
        <v>256</v>
      </c>
      <c r="G30" s="4" t="s">
        <v>28</v>
      </c>
      <c r="H30" s="4" t="s">
        <v>63</v>
      </c>
      <c r="I30" s="4"/>
      <c r="J30" s="10"/>
      <c r="K30" s="11" t="s">
        <v>64</v>
      </c>
      <c r="L30" s="13" t="s">
        <v>65</v>
      </c>
      <c r="M30" s="13" t="s">
        <v>151</v>
      </c>
      <c r="N30" s="4">
        <v>0.0</v>
      </c>
      <c r="O30" s="12"/>
      <c r="P30" s="12"/>
      <c r="Q30" s="2"/>
      <c r="R30" s="2"/>
      <c r="S30" s="2"/>
      <c r="T30" s="2"/>
      <c r="U30" s="2"/>
      <c r="V30" s="2"/>
      <c r="W30" s="2"/>
      <c r="X30" s="2"/>
      <c r="Y30" s="2"/>
      <c r="Z30" s="2"/>
    </row>
    <row r="31" ht="15.75" hidden="1" customHeight="1">
      <c r="A31" s="4" t="s">
        <v>257</v>
      </c>
      <c r="B31" s="4" t="s">
        <v>39</v>
      </c>
      <c r="C31" s="4" t="s">
        <v>258</v>
      </c>
      <c r="D31" s="4" t="s">
        <v>259</v>
      </c>
      <c r="E31" s="4" t="s">
        <v>155</v>
      </c>
      <c r="F31" s="9" t="s">
        <v>260</v>
      </c>
      <c r="G31" s="4" t="s">
        <v>28</v>
      </c>
      <c r="H31" s="4" t="s">
        <v>63</v>
      </c>
      <c r="I31" s="4" t="s">
        <v>261</v>
      </c>
      <c r="J31" s="10"/>
      <c r="K31" s="11" t="s">
        <v>64</v>
      </c>
      <c r="L31" s="13" t="s">
        <v>65</v>
      </c>
      <c r="M31" s="13" t="s">
        <v>262</v>
      </c>
      <c r="N31" s="4">
        <v>0.0</v>
      </c>
      <c r="O31" s="12"/>
      <c r="P31" s="12"/>
      <c r="Q31" s="2"/>
      <c r="R31" s="2"/>
      <c r="S31" s="2"/>
      <c r="T31" s="2"/>
      <c r="U31" s="2"/>
      <c r="V31" s="2"/>
      <c r="W31" s="2"/>
      <c r="X31" s="2"/>
      <c r="Y31" s="2"/>
      <c r="Z31" s="2"/>
    </row>
    <row r="32" ht="15.75" hidden="1" customHeight="1">
      <c r="A32" s="4" t="s">
        <v>263</v>
      </c>
      <c r="B32" s="4" t="s">
        <v>39</v>
      </c>
      <c r="C32" s="4" t="s">
        <v>264</v>
      </c>
      <c r="D32" s="4" t="s">
        <v>265</v>
      </c>
      <c r="E32" s="4" t="s">
        <v>266</v>
      </c>
      <c r="F32" s="9" t="s">
        <v>267</v>
      </c>
      <c r="G32" s="4" t="s">
        <v>28</v>
      </c>
      <c r="H32" s="4" t="s">
        <v>63</v>
      </c>
      <c r="I32" s="4"/>
      <c r="J32" s="10"/>
      <c r="K32" s="11" t="s">
        <v>64</v>
      </c>
      <c r="L32" s="13" t="s">
        <v>65</v>
      </c>
      <c r="M32" s="13" t="s">
        <v>268</v>
      </c>
      <c r="N32" s="4">
        <v>0.0</v>
      </c>
      <c r="O32" s="12"/>
      <c r="P32" s="12"/>
      <c r="Q32" s="2"/>
      <c r="R32" s="2"/>
      <c r="S32" s="2"/>
      <c r="T32" s="2"/>
      <c r="U32" s="2"/>
      <c r="V32" s="2"/>
      <c r="W32" s="2"/>
      <c r="X32" s="2"/>
      <c r="Y32" s="2"/>
      <c r="Z32" s="2"/>
    </row>
    <row r="33" ht="15.75" hidden="1" customHeight="1">
      <c r="A33" s="4" t="s">
        <v>269</v>
      </c>
      <c r="B33" s="4" t="s">
        <v>39</v>
      </c>
      <c r="C33" s="4" t="s">
        <v>270</v>
      </c>
      <c r="D33" s="4" t="s">
        <v>271</v>
      </c>
      <c r="E33" s="4" t="s">
        <v>272</v>
      </c>
      <c r="F33" s="9" t="s">
        <v>273</v>
      </c>
      <c r="G33" s="4" t="s">
        <v>27</v>
      </c>
      <c r="H33" s="4" t="s">
        <v>81</v>
      </c>
      <c r="I33" s="4"/>
      <c r="J33" s="10"/>
      <c r="K33" s="11" t="s">
        <v>64</v>
      </c>
      <c r="L33" s="13" t="s">
        <v>65</v>
      </c>
      <c r="M33" s="13" t="s">
        <v>274</v>
      </c>
      <c r="N33" s="4">
        <v>1.0</v>
      </c>
      <c r="O33" s="12"/>
      <c r="P33" s="12"/>
      <c r="Q33" s="2"/>
      <c r="R33" s="2"/>
      <c r="S33" s="2"/>
      <c r="T33" s="2"/>
      <c r="U33" s="2"/>
      <c r="V33" s="2"/>
      <c r="W33" s="2"/>
      <c r="X33" s="2"/>
      <c r="Y33" s="2"/>
      <c r="Z33" s="2"/>
    </row>
    <row r="34" ht="15.75" hidden="1" customHeight="1">
      <c r="A34" s="4" t="s">
        <v>275</v>
      </c>
      <c r="B34" s="4" t="s">
        <v>39</v>
      </c>
      <c r="C34" s="4" t="s">
        <v>276</v>
      </c>
      <c r="D34" s="4" t="s">
        <v>277</v>
      </c>
      <c r="E34" s="4" t="s">
        <v>278</v>
      </c>
      <c r="F34" s="9" t="s">
        <v>279</v>
      </c>
      <c r="G34" s="4" t="s">
        <v>29</v>
      </c>
      <c r="H34" s="4" t="s">
        <v>72</v>
      </c>
      <c r="I34" s="4" t="s">
        <v>97</v>
      </c>
      <c r="J34" s="10"/>
      <c r="K34" s="11" t="s">
        <v>64</v>
      </c>
      <c r="L34" s="13" t="s">
        <v>65</v>
      </c>
      <c r="M34" s="13" t="s">
        <v>280</v>
      </c>
      <c r="N34" s="4">
        <v>1.0</v>
      </c>
      <c r="O34" s="12"/>
      <c r="P34" s="12"/>
      <c r="Q34" s="2"/>
      <c r="R34" s="2"/>
      <c r="S34" s="2"/>
      <c r="T34" s="2"/>
      <c r="U34" s="2"/>
      <c r="V34" s="2"/>
      <c r="W34" s="2"/>
      <c r="X34" s="2"/>
      <c r="Y34" s="2"/>
      <c r="Z34" s="2"/>
    </row>
    <row r="35" ht="15.75" hidden="1" customHeight="1">
      <c r="A35" s="4" t="s">
        <v>281</v>
      </c>
      <c r="B35" s="4" t="s">
        <v>39</v>
      </c>
      <c r="C35" s="4" t="s">
        <v>282</v>
      </c>
      <c r="D35" s="4" t="s">
        <v>283</v>
      </c>
      <c r="E35" s="4" t="s">
        <v>149</v>
      </c>
      <c r="F35" s="9" t="s">
        <v>199</v>
      </c>
      <c r="G35" s="4" t="s">
        <v>28</v>
      </c>
      <c r="H35" s="4" t="s">
        <v>63</v>
      </c>
      <c r="I35" s="4"/>
      <c r="J35" s="10"/>
      <c r="K35" s="11" t="s">
        <v>64</v>
      </c>
      <c r="L35" s="13" t="s">
        <v>65</v>
      </c>
      <c r="M35" s="13" t="s">
        <v>151</v>
      </c>
      <c r="N35" s="4">
        <v>0.0</v>
      </c>
      <c r="O35" s="12"/>
      <c r="P35" s="12"/>
      <c r="Q35" s="2"/>
      <c r="R35" s="2"/>
      <c r="S35" s="2"/>
      <c r="T35" s="2"/>
      <c r="U35" s="2"/>
      <c r="V35" s="2"/>
      <c r="W35" s="2"/>
      <c r="X35" s="2"/>
      <c r="Y35" s="2"/>
      <c r="Z35" s="2"/>
    </row>
    <row r="36" ht="15.75" hidden="1" customHeight="1">
      <c r="A36" s="4" t="s">
        <v>284</v>
      </c>
      <c r="B36" s="4" t="s">
        <v>39</v>
      </c>
      <c r="C36" s="4" t="s">
        <v>285</v>
      </c>
      <c r="D36" s="4" t="s">
        <v>286</v>
      </c>
      <c r="E36" s="4" t="s">
        <v>155</v>
      </c>
      <c r="F36" s="9" t="s">
        <v>287</v>
      </c>
      <c r="G36" s="4" t="s">
        <v>28</v>
      </c>
      <c r="H36" s="4" t="s">
        <v>63</v>
      </c>
      <c r="I36" s="4" t="s">
        <v>138</v>
      </c>
      <c r="J36" s="10"/>
      <c r="K36" s="11" t="s">
        <v>64</v>
      </c>
      <c r="L36" s="13" t="s">
        <v>65</v>
      </c>
      <c r="M36" s="13" t="s">
        <v>288</v>
      </c>
      <c r="N36" s="4">
        <v>0.0</v>
      </c>
      <c r="O36" s="12"/>
      <c r="P36" s="12"/>
      <c r="Q36" s="2"/>
      <c r="R36" s="2"/>
      <c r="S36" s="2"/>
      <c r="T36" s="2"/>
      <c r="U36" s="2"/>
      <c r="V36" s="2"/>
      <c r="W36" s="2"/>
      <c r="X36" s="2"/>
      <c r="Y36" s="2"/>
      <c r="Z36" s="2"/>
    </row>
    <row r="37" ht="15.75" hidden="1" customHeight="1">
      <c r="A37" s="4" t="s">
        <v>289</v>
      </c>
      <c r="B37" s="4" t="s">
        <v>39</v>
      </c>
      <c r="C37" s="4" t="s">
        <v>290</v>
      </c>
      <c r="D37" s="4" t="s">
        <v>291</v>
      </c>
      <c r="E37" s="4" t="s">
        <v>292</v>
      </c>
      <c r="F37" s="9" t="s">
        <v>293</v>
      </c>
      <c r="G37" s="4" t="s">
        <v>27</v>
      </c>
      <c r="H37" s="4" t="s">
        <v>163</v>
      </c>
      <c r="I37" s="4" t="s">
        <v>294</v>
      </c>
      <c r="J37" s="10" t="s">
        <v>295</v>
      </c>
      <c r="K37" s="10" t="s">
        <v>238</v>
      </c>
      <c r="L37" s="12" t="s">
        <v>166</v>
      </c>
      <c r="M37" s="10" t="s">
        <v>296</v>
      </c>
      <c r="N37" s="4">
        <v>1.0</v>
      </c>
      <c r="O37" s="12"/>
      <c r="P37" s="12"/>
      <c r="Q37" s="2"/>
      <c r="R37" s="2"/>
      <c r="S37" s="2"/>
      <c r="T37" s="2"/>
      <c r="U37" s="2"/>
      <c r="V37" s="2"/>
      <c r="W37" s="2"/>
      <c r="X37" s="2"/>
      <c r="Y37" s="2"/>
      <c r="Z37" s="2"/>
    </row>
    <row r="38" ht="15.75" customHeight="1">
      <c r="A38" s="4" t="s">
        <v>297</v>
      </c>
      <c r="B38" s="4" t="s">
        <v>39</v>
      </c>
      <c r="C38" s="4" t="s">
        <v>298</v>
      </c>
      <c r="D38" s="4" t="s">
        <v>299</v>
      </c>
      <c r="E38" s="4" t="s">
        <v>300</v>
      </c>
      <c r="F38" s="9" t="s">
        <v>301</v>
      </c>
      <c r="G38" s="4" t="s">
        <v>27</v>
      </c>
      <c r="H38" s="4" t="s">
        <v>81</v>
      </c>
      <c r="I38" s="4"/>
      <c r="J38" s="10" t="s">
        <v>302</v>
      </c>
      <c r="K38" s="10" t="s">
        <v>74</v>
      </c>
      <c r="L38" s="12" t="s">
        <v>166</v>
      </c>
      <c r="M38" s="10" t="s">
        <v>303</v>
      </c>
      <c r="N38" s="4">
        <v>1.0</v>
      </c>
      <c r="O38" s="12"/>
      <c r="P38" s="12"/>
      <c r="Q38" s="2"/>
      <c r="R38" s="2"/>
      <c r="S38" s="2"/>
      <c r="T38" s="2"/>
      <c r="U38" s="2"/>
      <c r="V38" s="2"/>
      <c r="W38" s="2"/>
      <c r="X38" s="2"/>
      <c r="Y38" s="2"/>
      <c r="Z38" s="2"/>
    </row>
    <row r="39" ht="15.75" hidden="1" customHeight="1">
      <c r="A39" s="4" t="s">
        <v>304</v>
      </c>
      <c r="B39" s="4" t="s">
        <v>39</v>
      </c>
      <c r="C39" s="4" t="s">
        <v>305</v>
      </c>
      <c r="D39" s="4" t="s">
        <v>306</v>
      </c>
      <c r="E39" s="4" t="s">
        <v>307</v>
      </c>
      <c r="F39" s="9" t="s">
        <v>308</v>
      </c>
      <c r="G39" s="4" t="s">
        <v>27</v>
      </c>
      <c r="H39" s="4" t="s">
        <v>81</v>
      </c>
      <c r="I39" s="4"/>
      <c r="J39" s="10"/>
      <c r="K39" s="11" t="s">
        <v>64</v>
      </c>
      <c r="L39" s="13" t="s">
        <v>65</v>
      </c>
      <c r="M39" s="13" t="s">
        <v>309</v>
      </c>
      <c r="N39" s="4">
        <v>2.0</v>
      </c>
      <c r="O39" s="12"/>
      <c r="P39" s="12"/>
      <c r="Q39" s="2"/>
      <c r="R39" s="2"/>
      <c r="S39" s="2"/>
      <c r="T39" s="2"/>
      <c r="U39" s="2"/>
      <c r="V39" s="2"/>
      <c r="W39" s="2"/>
      <c r="X39" s="2"/>
      <c r="Y39" s="2"/>
      <c r="Z39" s="2"/>
    </row>
    <row r="40" ht="15.75" hidden="1" customHeight="1">
      <c r="A40" s="4" t="s">
        <v>310</v>
      </c>
      <c r="B40" s="4" t="s">
        <v>39</v>
      </c>
      <c r="C40" s="4" t="s">
        <v>311</v>
      </c>
      <c r="D40" s="4" t="s">
        <v>312</v>
      </c>
      <c r="E40" s="4" t="s">
        <v>149</v>
      </c>
      <c r="F40" s="9" t="s">
        <v>313</v>
      </c>
      <c r="G40" s="4" t="s">
        <v>28</v>
      </c>
      <c r="H40" s="4" t="s">
        <v>63</v>
      </c>
      <c r="I40" s="4"/>
      <c r="J40" s="10"/>
      <c r="K40" s="11" t="s">
        <v>64</v>
      </c>
      <c r="L40" s="13" t="s">
        <v>65</v>
      </c>
      <c r="M40" s="13" t="s">
        <v>151</v>
      </c>
      <c r="N40" s="4">
        <v>0.0</v>
      </c>
      <c r="O40" s="12"/>
      <c r="P40" s="12"/>
      <c r="Q40" s="2"/>
      <c r="R40" s="2"/>
      <c r="S40" s="2"/>
      <c r="T40" s="2"/>
      <c r="U40" s="2"/>
      <c r="V40" s="2"/>
      <c r="W40" s="2"/>
      <c r="X40" s="2"/>
      <c r="Y40" s="2"/>
      <c r="Z40" s="2"/>
    </row>
    <row r="41" ht="15.75" hidden="1" customHeight="1">
      <c r="A41" s="4" t="s">
        <v>314</v>
      </c>
      <c r="B41" s="4" t="s">
        <v>39</v>
      </c>
      <c r="C41" s="4" t="s">
        <v>315</v>
      </c>
      <c r="D41" s="4" t="s">
        <v>316</v>
      </c>
      <c r="E41" s="4" t="s">
        <v>155</v>
      </c>
      <c r="F41" s="9" t="s">
        <v>317</v>
      </c>
      <c r="G41" s="4" t="s">
        <v>28</v>
      </c>
      <c r="H41" s="4" t="s">
        <v>63</v>
      </c>
      <c r="I41" s="4" t="s">
        <v>138</v>
      </c>
      <c r="J41" s="10"/>
      <c r="K41" s="11" t="s">
        <v>64</v>
      </c>
      <c r="L41" s="13" t="s">
        <v>65</v>
      </c>
      <c r="M41" s="13" t="s">
        <v>318</v>
      </c>
      <c r="N41" s="4">
        <v>0.0</v>
      </c>
      <c r="O41" s="12"/>
      <c r="P41" s="12"/>
      <c r="Q41" s="2"/>
      <c r="R41" s="2"/>
      <c r="S41" s="2"/>
      <c r="T41" s="2"/>
      <c r="U41" s="2"/>
      <c r="V41" s="2"/>
      <c r="W41" s="2"/>
      <c r="X41" s="2"/>
      <c r="Y41" s="2"/>
      <c r="Z41" s="2"/>
    </row>
    <row r="42" ht="15.75" hidden="1" customHeight="1">
      <c r="A42" s="4" t="s">
        <v>319</v>
      </c>
      <c r="B42" s="4" t="s">
        <v>39</v>
      </c>
      <c r="C42" s="4" t="s">
        <v>320</v>
      </c>
      <c r="D42" s="4" t="s">
        <v>321</v>
      </c>
      <c r="E42" s="4" t="s">
        <v>322</v>
      </c>
      <c r="F42" s="9" t="s">
        <v>323</v>
      </c>
      <c r="G42" s="4" t="s">
        <v>27</v>
      </c>
      <c r="H42" s="4" t="s">
        <v>163</v>
      </c>
      <c r="I42" s="4" t="s">
        <v>324</v>
      </c>
      <c r="J42" s="10"/>
      <c r="K42" s="11" t="s">
        <v>64</v>
      </c>
      <c r="L42" s="13" t="s">
        <v>65</v>
      </c>
      <c r="M42" s="13" t="s">
        <v>325</v>
      </c>
      <c r="N42" s="4">
        <v>1.0</v>
      </c>
      <c r="O42" s="12"/>
      <c r="P42" s="12"/>
      <c r="Q42" s="2"/>
      <c r="R42" s="2"/>
      <c r="S42" s="2"/>
      <c r="T42" s="2"/>
      <c r="U42" s="2"/>
      <c r="V42" s="2"/>
      <c r="W42" s="2"/>
      <c r="X42" s="2"/>
      <c r="Y42" s="2"/>
      <c r="Z42" s="2"/>
    </row>
    <row r="43" ht="15.75" hidden="1" customHeight="1">
      <c r="A43" s="4" t="s">
        <v>326</v>
      </c>
      <c r="B43" s="4" t="s">
        <v>39</v>
      </c>
      <c r="C43" s="4" t="s">
        <v>327</v>
      </c>
      <c r="D43" s="4" t="s">
        <v>328</v>
      </c>
      <c r="E43" s="4" t="s">
        <v>329</v>
      </c>
      <c r="F43" s="9" t="s">
        <v>330</v>
      </c>
      <c r="G43" s="4" t="s">
        <v>29</v>
      </c>
      <c r="H43" s="4" t="s">
        <v>72</v>
      </c>
      <c r="I43" s="4"/>
      <c r="J43" s="10"/>
      <c r="K43" s="11" t="s">
        <v>64</v>
      </c>
      <c r="L43" s="13" t="s">
        <v>65</v>
      </c>
      <c r="M43" s="13" t="s">
        <v>331</v>
      </c>
      <c r="N43" s="4">
        <v>1.0</v>
      </c>
      <c r="O43" s="12"/>
      <c r="P43" s="12"/>
      <c r="Q43" s="2"/>
      <c r="R43" s="2"/>
      <c r="S43" s="2"/>
      <c r="T43" s="2"/>
      <c r="U43" s="2"/>
      <c r="V43" s="2"/>
      <c r="W43" s="2"/>
      <c r="X43" s="2"/>
      <c r="Y43" s="2"/>
      <c r="Z43" s="2"/>
    </row>
    <row r="44" ht="15.75" hidden="1" customHeight="1">
      <c r="A44" s="4" t="s">
        <v>332</v>
      </c>
      <c r="B44" s="4" t="s">
        <v>39</v>
      </c>
      <c r="C44" s="4" t="s">
        <v>333</v>
      </c>
      <c r="D44" s="4" t="s">
        <v>334</v>
      </c>
      <c r="E44" s="4" t="s">
        <v>149</v>
      </c>
      <c r="F44" s="9" t="s">
        <v>256</v>
      </c>
      <c r="G44" s="4" t="s">
        <v>28</v>
      </c>
      <c r="H44" s="4" t="s">
        <v>63</v>
      </c>
      <c r="I44" s="4"/>
      <c r="J44" s="10"/>
      <c r="K44" s="11" t="s">
        <v>64</v>
      </c>
      <c r="L44" s="13" t="s">
        <v>65</v>
      </c>
      <c r="M44" s="13" t="s">
        <v>151</v>
      </c>
      <c r="N44" s="4">
        <v>0.0</v>
      </c>
      <c r="O44" s="12"/>
      <c r="P44" s="12"/>
      <c r="Q44" s="2"/>
      <c r="R44" s="2"/>
      <c r="S44" s="2"/>
      <c r="T44" s="2"/>
      <c r="U44" s="2"/>
      <c r="V44" s="2"/>
      <c r="W44" s="2"/>
      <c r="X44" s="2"/>
      <c r="Y44" s="2"/>
      <c r="Z44" s="2"/>
    </row>
    <row r="45" ht="15.75" hidden="1" customHeight="1">
      <c r="A45" s="4" t="s">
        <v>335</v>
      </c>
      <c r="B45" s="4" t="s">
        <v>39</v>
      </c>
      <c r="C45" s="4" t="s">
        <v>336</v>
      </c>
      <c r="D45" s="4" t="s">
        <v>337</v>
      </c>
      <c r="E45" s="4" t="s">
        <v>155</v>
      </c>
      <c r="F45" s="9" t="s">
        <v>338</v>
      </c>
      <c r="G45" s="4" t="s">
        <v>28</v>
      </c>
      <c r="H45" s="4" t="s">
        <v>63</v>
      </c>
      <c r="I45" s="4" t="s">
        <v>261</v>
      </c>
      <c r="J45" s="10"/>
      <c r="K45" s="11" t="s">
        <v>64</v>
      </c>
      <c r="L45" s="13" t="s">
        <v>65</v>
      </c>
      <c r="M45" s="13" t="s">
        <v>339</v>
      </c>
      <c r="N45" s="4">
        <v>0.0</v>
      </c>
      <c r="O45" s="12"/>
      <c r="P45" s="12"/>
      <c r="Q45" s="2"/>
      <c r="R45" s="2"/>
      <c r="S45" s="2"/>
      <c r="T45" s="2"/>
      <c r="U45" s="2"/>
      <c r="V45" s="2"/>
      <c r="W45" s="2"/>
      <c r="X45" s="2"/>
      <c r="Y45" s="2"/>
      <c r="Z45" s="2"/>
    </row>
    <row r="46" ht="15.75" hidden="1" customHeight="1">
      <c r="A46" s="4" t="s">
        <v>340</v>
      </c>
      <c r="B46" s="4" t="s">
        <v>39</v>
      </c>
      <c r="C46" s="4" t="s">
        <v>341</v>
      </c>
      <c r="D46" s="4" t="s">
        <v>342</v>
      </c>
      <c r="E46" s="4" t="s">
        <v>343</v>
      </c>
      <c r="F46" s="9" t="s">
        <v>344</v>
      </c>
      <c r="G46" s="4" t="s">
        <v>27</v>
      </c>
      <c r="H46" s="4" t="s">
        <v>81</v>
      </c>
      <c r="I46" s="4"/>
      <c r="J46" s="10"/>
      <c r="K46" s="11" t="s">
        <v>64</v>
      </c>
      <c r="L46" s="13" t="s">
        <v>65</v>
      </c>
      <c r="M46" s="13" t="s">
        <v>345</v>
      </c>
      <c r="N46" s="4">
        <v>1.0</v>
      </c>
      <c r="O46" s="12"/>
      <c r="P46" s="12"/>
      <c r="Q46" s="2"/>
      <c r="R46" s="2"/>
      <c r="S46" s="2"/>
      <c r="T46" s="2"/>
      <c r="U46" s="2"/>
      <c r="V46" s="2"/>
      <c r="W46" s="2"/>
      <c r="X46" s="2"/>
      <c r="Y46" s="2"/>
      <c r="Z46" s="2"/>
    </row>
    <row r="47" ht="15.75" hidden="1" customHeight="1">
      <c r="A47" s="4" t="s">
        <v>346</v>
      </c>
      <c r="B47" s="4" t="s">
        <v>39</v>
      </c>
      <c r="C47" s="4" t="s">
        <v>347</v>
      </c>
      <c r="D47" s="4" t="s">
        <v>348</v>
      </c>
      <c r="E47" s="4" t="s">
        <v>149</v>
      </c>
      <c r="F47" s="9" t="s">
        <v>199</v>
      </c>
      <c r="G47" s="4" t="s">
        <v>28</v>
      </c>
      <c r="H47" s="4" t="s">
        <v>63</v>
      </c>
      <c r="I47" s="4"/>
      <c r="J47" s="10"/>
      <c r="K47" s="11" t="s">
        <v>64</v>
      </c>
      <c r="L47" s="13" t="s">
        <v>65</v>
      </c>
      <c r="M47" s="13" t="s">
        <v>151</v>
      </c>
      <c r="N47" s="4">
        <v>0.0</v>
      </c>
      <c r="O47" s="12"/>
      <c r="P47" s="12"/>
      <c r="Q47" s="2"/>
      <c r="R47" s="2"/>
      <c r="S47" s="2"/>
      <c r="T47" s="2"/>
      <c r="U47" s="2"/>
      <c r="V47" s="2"/>
      <c r="W47" s="2"/>
      <c r="X47" s="2"/>
      <c r="Y47" s="2"/>
      <c r="Z47" s="2"/>
    </row>
    <row r="48" ht="15.75" hidden="1" customHeight="1">
      <c r="A48" s="4" t="s">
        <v>349</v>
      </c>
      <c r="B48" s="4" t="s">
        <v>39</v>
      </c>
      <c r="C48" s="4" t="s">
        <v>350</v>
      </c>
      <c r="D48" s="4" t="s">
        <v>351</v>
      </c>
      <c r="E48" s="4" t="s">
        <v>155</v>
      </c>
      <c r="F48" s="9" t="s">
        <v>352</v>
      </c>
      <c r="G48" s="4" t="s">
        <v>29</v>
      </c>
      <c r="H48" s="4" t="s">
        <v>72</v>
      </c>
      <c r="I48" s="4" t="s">
        <v>138</v>
      </c>
      <c r="J48" s="10"/>
      <c r="K48" s="11" t="s">
        <v>64</v>
      </c>
      <c r="L48" s="13" t="s">
        <v>65</v>
      </c>
      <c r="M48" s="13" t="s">
        <v>353</v>
      </c>
      <c r="N48" s="4">
        <v>1.0</v>
      </c>
      <c r="O48" s="12"/>
      <c r="P48" s="12"/>
      <c r="Q48" s="2"/>
      <c r="R48" s="2"/>
      <c r="S48" s="2"/>
      <c r="T48" s="2"/>
      <c r="U48" s="2"/>
      <c r="V48" s="2"/>
      <c r="W48" s="2"/>
      <c r="X48" s="2"/>
      <c r="Y48" s="2"/>
      <c r="Z48" s="2"/>
    </row>
    <row r="49" ht="15.75" hidden="1" customHeight="1">
      <c r="A49" s="4" t="s">
        <v>354</v>
      </c>
      <c r="B49" s="4" t="s">
        <v>39</v>
      </c>
      <c r="C49" s="4" t="s">
        <v>355</v>
      </c>
      <c r="D49" s="4" t="s">
        <v>356</v>
      </c>
      <c r="E49" s="4" t="s">
        <v>149</v>
      </c>
      <c r="F49" s="9" t="s">
        <v>313</v>
      </c>
      <c r="G49" s="4" t="s">
        <v>28</v>
      </c>
      <c r="H49" s="4" t="s">
        <v>63</v>
      </c>
      <c r="I49" s="4"/>
      <c r="J49" s="10"/>
      <c r="K49" s="11" t="s">
        <v>64</v>
      </c>
      <c r="L49" s="13" t="s">
        <v>65</v>
      </c>
      <c r="M49" s="13" t="s">
        <v>151</v>
      </c>
      <c r="N49" s="4">
        <v>0.0</v>
      </c>
      <c r="O49" s="12"/>
      <c r="P49" s="12"/>
      <c r="Q49" s="2"/>
      <c r="R49" s="2"/>
      <c r="S49" s="2"/>
      <c r="T49" s="2"/>
      <c r="U49" s="2"/>
      <c r="V49" s="2"/>
      <c r="W49" s="2"/>
      <c r="X49" s="2"/>
      <c r="Y49" s="2"/>
      <c r="Z49" s="2"/>
    </row>
    <row r="50" ht="15.75" hidden="1" customHeight="1">
      <c r="A50" s="4" t="s">
        <v>357</v>
      </c>
      <c r="B50" s="4" t="s">
        <v>39</v>
      </c>
      <c r="C50" s="4" t="s">
        <v>358</v>
      </c>
      <c r="D50" s="4" t="s">
        <v>359</v>
      </c>
      <c r="E50" s="4" t="s">
        <v>155</v>
      </c>
      <c r="F50" s="9" t="s">
        <v>360</v>
      </c>
      <c r="G50" s="4" t="s">
        <v>28</v>
      </c>
      <c r="H50" s="4" t="s">
        <v>63</v>
      </c>
      <c r="I50" s="4" t="s">
        <v>261</v>
      </c>
      <c r="J50" s="10"/>
      <c r="K50" s="11" t="s">
        <v>64</v>
      </c>
      <c r="L50" s="13" t="s">
        <v>65</v>
      </c>
      <c r="M50" s="13" t="s">
        <v>361</v>
      </c>
      <c r="N50" s="4">
        <v>0.0</v>
      </c>
      <c r="O50" s="12"/>
      <c r="P50" s="12"/>
      <c r="Q50" s="2"/>
      <c r="R50" s="2"/>
      <c r="S50" s="2"/>
      <c r="T50" s="2"/>
      <c r="U50" s="2"/>
      <c r="V50" s="2"/>
      <c r="W50" s="2"/>
      <c r="X50" s="2"/>
      <c r="Y50" s="2"/>
      <c r="Z50" s="2"/>
    </row>
    <row r="51" ht="15.75" customHeight="1">
      <c r="A51" s="4" t="s">
        <v>362</v>
      </c>
      <c r="B51" s="4" t="s">
        <v>39</v>
      </c>
      <c r="C51" s="4" t="s">
        <v>363</v>
      </c>
      <c r="D51" s="4" t="s">
        <v>364</v>
      </c>
      <c r="E51" s="4" t="s">
        <v>365</v>
      </c>
      <c r="F51" s="9" t="s">
        <v>366</v>
      </c>
      <c r="G51" s="4" t="s">
        <v>29</v>
      </c>
      <c r="H51" s="4" t="s">
        <v>72</v>
      </c>
      <c r="I51" s="4"/>
      <c r="J51" s="10" t="s">
        <v>367</v>
      </c>
      <c r="K51" s="10" t="s">
        <v>74</v>
      </c>
      <c r="L51" s="12" t="s">
        <v>166</v>
      </c>
      <c r="M51" s="10" t="s">
        <v>368</v>
      </c>
      <c r="N51" s="4">
        <v>2.0</v>
      </c>
      <c r="O51" s="12"/>
      <c r="P51" s="12"/>
      <c r="Q51" s="2"/>
      <c r="R51" s="2"/>
      <c r="S51" s="2"/>
      <c r="T51" s="2"/>
      <c r="U51" s="2"/>
      <c r="V51" s="2"/>
      <c r="W51" s="2"/>
      <c r="X51" s="2"/>
      <c r="Y51" s="2"/>
      <c r="Z51" s="2"/>
    </row>
    <row r="52" ht="15.75" hidden="1" customHeight="1">
      <c r="A52" s="4" t="s">
        <v>369</v>
      </c>
      <c r="B52" s="4" t="s">
        <v>39</v>
      </c>
      <c r="C52" s="4" t="s">
        <v>370</v>
      </c>
      <c r="D52" s="4" t="s">
        <v>371</v>
      </c>
      <c r="E52" s="4" t="s">
        <v>372</v>
      </c>
      <c r="F52" s="9" t="s">
        <v>373</v>
      </c>
      <c r="G52" s="4" t="s">
        <v>29</v>
      </c>
      <c r="H52" s="4" t="s">
        <v>72</v>
      </c>
      <c r="I52" s="4"/>
      <c r="J52" s="10" t="s">
        <v>374</v>
      </c>
      <c r="K52" s="10" t="s">
        <v>238</v>
      </c>
      <c r="L52" s="12" t="s">
        <v>166</v>
      </c>
      <c r="M52" s="10" t="s">
        <v>375</v>
      </c>
      <c r="N52" s="4">
        <v>1.0</v>
      </c>
      <c r="O52" s="12"/>
      <c r="P52" s="12"/>
      <c r="Q52" s="2"/>
      <c r="R52" s="2"/>
      <c r="S52" s="2"/>
      <c r="T52" s="2"/>
      <c r="U52" s="2"/>
      <c r="V52" s="2"/>
      <c r="W52" s="2"/>
      <c r="X52" s="2"/>
      <c r="Y52" s="2"/>
      <c r="Z52" s="2"/>
    </row>
    <row r="53" ht="15.75" customHeight="1">
      <c r="A53" s="4" t="s">
        <v>376</v>
      </c>
      <c r="B53" s="4" t="s">
        <v>39</v>
      </c>
      <c r="C53" s="4" t="s">
        <v>377</v>
      </c>
      <c r="D53" s="4" t="s">
        <v>378</v>
      </c>
      <c r="E53" s="4" t="s">
        <v>379</v>
      </c>
      <c r="F53" s="9" t="s">
        <v>380</v>
      </c>
      <c r="G53" s="4" t="s">
        <v>29</v>
      </c>
      <c r="H53" s="4" t="s">
        <v>72</v>
      </c>
      <c r="I53" s="4"/>
      <c r="J53" s="10" t="s">
        <v>381</v>
      </c>
      <c r="K53" s="10" t="s">
        <v>74</v>
      </c>
      <c r="L53" s="12" t="s">
        <v>166</v>
      </c>
      <c r="M53" s="10" t="s">
        <v>382</v>
      </c>
      <c r="N53" s="4">
        <v>1.0</v>
      </c>
      <c r="O53" s="12"/>
      <c r="P53" s="12"/>
      <c r="Q53" s="2"/>
      <c r="R53" s="2"/>
      <c r="S53" s="2"/>
      <c r="T53" s="2"/>
      <c r="U53" s="2"/>
      <c r="V53" s="2"/>
      <c r="W53" s="2"/>
      <c r="X53" s="2"/>
      <c r="Y53" s="2"/>
      <c r="Z53" s="2"/>
    </row>
    <row r="54" ht="15.75" customHeight="1">
      <c r="A54" s="4" t="s">
        <v>383</v>
      </c>
      <c r="B54" s="4" t="s">
        <v>39</v>
      </c>
      <c r="C54" s="4" t="s">
        <v>384</v>
      </c>
      <c r="D54" s="4" t="s">
        <v>385</v>
      </c>
      <c r="E54" s="4" t="s">
        <v>386</v>
      </c>
      <c r="F54" s="9" t="s">
        <v>387</v>
      </c>
      <c r="G54" s="4" t="s">
        <v>29</v>
      </c>
      <c r="H54" s="4" t="s">
        <v>72</v>
      </c>
      <c r="I54" s="4"/>
      <c r="J54" s="10" t="s">
        <v>388</v>
      </c>
      <c r="K54" s="10" t="s">
        <v>74</v>
      </c>
      <c r="L54" s="12" t="s">
        <v>166</v>
      </c>
      <c r="M54" s="10" t="s">
        <v>389</v>
      </c>
      <c r="N54" s="4">
        <v>2.0</v>
      </c>
      <c r="O54" s="12"/>
      <c r="P54" s="12"/>
      <c r="Q54" s="2"/>
      <c r="R54" s="2"/>
      <c r="S54" s="2"/>
      <c r="T54" s="2"/>
      <c r="U54" s="2"/>
      <c r="V54" s="2"/>
      <c r="W54" s="2"/>
      <c r="X54" s="2"/>
      <c r="Y54" s="2"/>
      <c r="Z54" s="2"/>
    </row>
    <row r="55" ht="15.75" hidden="1" customHeight="1">
      <c r="A55" s="4" t="s">
        <v>390</v>
      </c>
      <c r="B55" s="4" t="s">
        <v>39</v>
      </c>
      <c r="C55" s="4" t="s">
        <v>391</v>
      </c>
      <c r="D55" s="4" t="s">
        <v>392</v>
      </c>
      <c r="E55" s="4" t="s">
        <v>149</v>
      </c>
      <c r="F55" s="9" t="s">
        <v>199</v>
      </c>
      <c r="G55" s="4" t="s">
        <v>28</v>
      </c>
      <c r="H55" s="4" t="s">
        <v>63</v>
      </c>
      <c r="I55" s="4"/>
      <c r="J55" s="10"/>
      <c r="K55" s="11" t="s">
        <v>64</v>
      </c>
      <c r="L55" s="13" t="s">
        <v>65</v>
      </c>
      <c r="M55" s="13" t="s">
        <v>151</v>
      </c>
      <c r="N55" s="4">
        <v>0.0</v>
      </c>
      <c r="O55" s="12"/>
      <c r="P55" s="12"/>
      <c r="Q55" s="2"/>
      <c r="R55" s="2"/>
      <c r="S55" s="2"/>
      <c r="T55" s="2"/>
      <c r="U55" s="2"/>
      <c r="V55" s="2"/>
      <c r="W55" s="2"/>
      <c r="X55" s="2"/>
      <c r="Y55" s="2"/>
      <c r="Z55" s="2"/>
    </row>
    <row r="56" ht="15.75" hidden="1" customHeight="1">
      <c r="A56" s="4" t="s">
        <v>393</v>
      </c>
      <c r="B56" s="4" t="s">
        <v>39</v>
      </c>
      <c r="C56" s="4" t="s">
        <v>394</v>
      </c>
      <c r="D56" s="4" t="s">
        <v>395</v>
      </c>
      <c r="E56" s="4" t="s">
        <v>155</v>
      </c>
      <c r="F56" s="9" t="s">
        <v>396</v>
      </c>
      <c r="G56" s="4" t="s">
        <v>28</v>
      </c>
      <c r="H56" s="4" t="s">
        <v>63</v>
      </c>
      <c r="I56" s="4" t="s">
        <v>261</v>
      </c>
      <c r="J56" s="10"/>
      <c r="K56" s="11" t="s">
        <v>64</v>
      </c>
      <c r="L56" s="13" t="s">
        <v>65</v>
      </c>
      <c r="M56" s="13" t="s">
        <v>397</v>
      </c>
      <c r="N56" s="4">
        <v>0.0</v>
      </c>
      <c r="O56" s="12"/>
      <c r="P56" s="12"/>
      <c r="Q56" s="2"/>
      <c r="R56" s="2"/>
      <c r="S56" s="2"/>
      <c r="T56" s="2"/>
      <c r="U56" s="2"/>
      <c r="V56" s="2"/>
      <c r="W56" s="2"/>
      <c r="X56" s="2"/>
      <c r="Y56" s="2"/>
      <c r="Z56" s="2"/>
    </row>
    <row r="57" ht="15.75" hidden="1" customHeight="1">
      <c r="A57" s="4" t="s">
        <v>398</v>
      </c>
      <c r="B57" s="4" t="s">
        <v>39</v>
      </c>
      <c r="C57" s="4" t="s">
        <v>399</v>
      </c>
      <c r="D57" s="4" t="s">
        <v>400</v>
      </c>
      <c r="E57" s="4" t="s">
        <v>401</v>
      </c>
      <c r="F57" s="9" t="s">
        <v>402</v>
      </c>
      <c r="G57" s="4" t="s">
        <v>29</v>
      </c>
      <c r="H57" s="4" t="s">
        <v>72</v>
      </c>
      <c r="I57" s="4"/>
      <c r="J57" s="10" t="s">
        <v>403</v>
      </c>
      <c r="K57" s="10" t="s">
        <v>238</v>
      </c>
      <c r="L57" s="12" t="s">
        <v>166</v>
      </c>
      <c r="M57" s="10" t="s">
        <v>404</v>
      </c>
      <c r="N57" s="4">
        <v>4.0</v>
      </c>
      <c r="O57" s="12"/>
      <c r="P57" s="12"/>
      <c r="Q57" s="2"/>
      <c r="R57" s="2"/>
      <c r="S57" s="2"/>
      <c r="T57" s="2"/>
      <c r="U57" s="2"/>
      <c r="V57" s="2"/>
      <c r="W57" s="2"/>
      <c r="X57" s="2"/>
      <c r="Y57" s="2"/>
      <c r="Z57" s="2"/>
    </row>
    <row r="58" ht="15.75" hidden="1" customHeight="1">
      <c r="A58" s="4" t="s">
        <v>405</v>
      </c>
      <c r="B58" s="4" t="s">
        <v>39</v>
      </c>
      <c r="C58" s="4" t="s">
        <v>406</v>
      </c>
      <c r="D58" s="4" t="s">
        <v>407</v>
      </c>
      <c r="E58" s="4" t="s">
        <v>408</v>
      </c>
      <c r="F58" s="9" t="s">
        <v>409</v>
      </c>
      <c r="G58" s="4" t="s">
        <v>28</v>
      </c>
      <c r="H58" s="4" t="s">
        <v>63</v>
      </c>
      <c r="I58" s="4"/>
      <c r="J58" s="10"/>
      <c r="K58" s="11" t="s">
        <v>64</v>
      </c>
      <c r="L58" s="13" t="s">
        <v>65</v>
      </c>
      <c r="M58" s="13" t="s">
        <v>151</v>
      </c>
      <c r="N58" s="4">
        <v>0.0</v>
      </c>
      <c r="O58" s="12"/>
      <c r="P58" s="12"/>
      <c r="Q58" s="2"/>
      <c r="R58" s="2"/>
      <c r="S58" s="2"/>
      <c r="T58" s="2"/>
      <c r="U58" s="2"/>
      <c r="V58" s="2"/>
      <c r="W58" s="2"/>
      <c r="X58" s="2"/>
      <c r="Y58" s="2"/>
      <c r="Z58" s="2"/>
    </row>
    <row r="59" ht="15.75" hidden="1" customHeight="1">
      <c r="A59" s="4" t="s">
        <v>410</v>
      </c>
      <c r="B59" s="4" t="s">
        <v>39</v>
      </c>
      <c r="C59" s="4" t="s">
        <v>411</v>
      </c>
      <c r="D59" s="4" t="s">
        <v>412</v>
      </c>
      <c r="E59" s="4" t="s">
        <v>155</v>
      </c>
      <c r="F59" s="9" t="s">
        <v>413</v>
      </c>
      <c r="G59" s="4" t="s">
        <v>29</v>
      </c>
      <c r="H59" s="4" t="s">
        <v>72</v>
      </c>
      <c r="I59" s="4" t="s">
        <v>261</v>
      </c>
      <c r="J59" s="10"/>
      <c r="K59" s="11" t="s">
        <v>64</v>
      </c>
      <c r="L59" s="13" t="s">
        <v>65</v>
      </c>
      <c r="M59" s="13" t="s">
        <v>414</v>
      </c>
      <c r="N59" s="4">
        <v>1.0</v>
      </c>
      <c r="O59" s="12"/>
      <c r="P59" s="12"/>
      <c r="Q59" s="2"/>
      <c r="R59" s="2"/>
      <c r="S59" s="2"/>
      <c r="T59" s="2"/>
      <c r="U59" s="2"/>
      <c r="V59" s="2"/>
      <c r="W59" s="2"/>
      <c r="X59" s="2"/>
      <c r="Y59" s="2"/>
      <c r="Z59" s="2"/>
    </row>
    <row r="60" ht="15.75" hidden="1" customHeight="1">
      <c r="A60" s="4" t="s">
        <v>415</v>
      </c>
      <c r="B60" s="4" t="s">
        <v>39</v>
      </c>
      <c r="C60" s="4" t="s">
        <v>416</v>
      </c>
      <c r="D60" s="4" t="s">
        <v>417</v>
      </c>
      <c r="E60" s="4" t="s">
        <v>149</v>
      </c>
      <c r="F60" s="9" t="s">
        <v>199</v>
      </c>
      <c r="G60" s="4" t="s">
        <v>28</v>
      </c>
      <c r="H60" s="4" t="s">
        <v>63</v>
      </c>
      <c r="I60" s="4"/>
      <c r="J60" s="10"/>
      <c r="K60" s="11" t="s">
        <v>64</v>
      </c>
      <c r="L60" s="13" t="s">
        <v>65</v>
      </c>
      <c r="M60" s="13" t="s">
        <v>151</v>
      </c>
      <c r="N60" s="4">
        <v>0.0</v>
      </c>
      <c r="O60" s="12"/>
      <c r="P60" s="12"/>
      <c r="Q60" s="2"/>
      <c r="R60" s="2"/>
      <c r="S60" s="2"/>
      <c r="T60" s="2"/>
      <c r="U60" s="2"/>
      <c r="V60" s="2"/>
      <c r="W60" s="2"/>
      <c r="X60" s="2"/>
      <c r="Y60" s="2"/>
      <c r="Z60" s="2"/>
    </row>
    <row r="61" ht="15.75" hidden="1" customHeight="1">
      <c r="A61" s="4" t="s">
        <v>418</v>
      </c>
      <c r="B61" s="4" t="s">
        <v>39</v>
      </c>
      <c r="C61" s="4" t="s">
        <v>419</v>
      </c>
      <c r="D61" s="4" t="s">
        <v>420</v>
      </c>
      <c r="E61" s="4" t="s">
        <v>155</v>
      </c>
      <c r="F61" s="9" t="s">
        <v>421</v>
      </c>
      <c r="G61" s="4" t="s">
        <v>29</v>
      </c>
      <c r="H61" s="4" t="s">
        <v>72</v>
      </c>
      <c r="I61" s="4" t="s">
        <v>138</v>
      </c>
      <c r="J61" s="10"/>
      <c r="K61" s="11" t="s">
        <v>64</v>
      </c>
      <c r="L61" s="13" t="s">
        <v>65</v>
      </c>
      <c r="M61" s="13" t="s">
        <v>422</v>
      </c>
      <c r="N61" s="4">
        <v>1.0</v>
      </c>
      <c r="O61" s="12"/>
      <c r="P61" s="12"/>
      <c r="Q61" s="2"/>
      <c r="R61" s="2"/>
      <c r="S61" s="2"/>
      <c r="T61" s="2"/>
      <c r="U61" s="2"/>
      <c r="V61" s="2"/>
      <c r="W61" s="2"/>
      <c r="X61" s="2"/>
      <c r="Y61" s="2"/>
      <c r="Z61" s="2"/>
    </row>
    <row r="62" ht="15.75" hidden="1" customHeight="1">
      <c r="A62" s="4" t="s">
        <v>423</v>
      </c>
      <c r="B62" s="4" t="s">
        <v>39</v>
      </c>
      <c r="C62" s="4" t="s">
        <v>424</v>
      </c>
      <c r="D62" s="4" t="s">
        <v>425</v>
      </c>
      <c r="E62" s="4" t="s">
        <v>426</v>
      </c>
      <c r="F62" s="9" t="s">
        <v>427</v>
      </c>
      <c r="G62" s="4" t="s">
        <v>29</v>
      </c>
      <c r="H62" s="4" t="s">
        <v>72</v>
      </c>
      <c r="I62" s="4"/>
      <c r="J62" s="10"/>
      <c r="K62" s="11" t="s">
        <v>64</v>
      </c>
      <c r="L62" s="13" t="s">
        <v>65</v>
      </c>
      <c r="M62" s="13" t="s">
        <v>428</v>
      </c>
      <c r="N62" s="4">
        <v>1.0</v>
      </c>
      <c r="O62" s="12"/>
      <c r="P62" s="12"/>
      <c r="Q62" s="2"/>
      <c r="R62" s="2"/>
      <c r="S62" s="2"/>
      <c r="T62" s="2"/>
      <c r="U62" s="2"/>
      <c r="V62" s="2"/>
      <c r="W62" s="2"/>
      <c r="X62" s="2"/>
      <c r="Y62" s="2"/>
      <c r="Z62" s="2"/>
    </row>
    <row r="63" ht="15.75" hidden="1" customHeight="1">
      <c r="A63" s="4" t="s">
        <v>429</v>
      </c>
      <c r="B63" s="4" t="s">
        <v>39</v>
      </c>
      <c r="C63" s="4" t="s">
        <v>430</v>
      </c>
      <c r="D63" s="4" t="s">
        <v>431</v>
      </c>
      <c r="E63" s="4" t="s">
        <v>432</v>
      </c>
      <c r="F63" s="9" t="s">
        <v>433</v>
      </c>
      <c r="G63" s="4" t="s">
        <v>29</v>
      </c>
      <c r="H63" s="4" t="s">
        <v>72</v>
      </c>
      <c r="I63" s="4"/>
      <c r="J63" s="10"/>
      <c r="K63" s="11" t="s">
        <v>64</v>
      </c>
      <c r="L63" s="13" t="s">
        <v>65</v>
      </c>
      <c r="M63" s="13" t="s">
        <v>434</v>
      </c>
      <c r="N63" s="4">
        <v>4.0</v>
      </c>
      <c r="O63" s="12"/>
      <c r="P63" s="12"/>
      <c r="Q63" s="2"/>
      <c r="R63" s="2"/>
      <c r="S63" s="2"/>
      <c r="T63" s="2"/>
      <c r="U63" s="2"/>
      <c r="V63" s="2"/>
      <c r="W63" s="2"/>
      <c r="X63" s="2"/>
      <c r="Y63" s="2"/>
      <c r="Z63" s="2"/>
    </row>
    <row r="64" ht="15.75" hidden="1" customHeight="1">
      <c r="A64" s="4" t="s">
        <v>435</v>
      </c>
      <c r="B64" s="4" t="s">
        <v>39</v>
      </c>
      <c r="C64" s="4" t="s">
        <v>436</v>
      </c>
      <c r="D64" s="4" t="s">
        <v>437</v>
      </c>
      <c r="E64" s="4" t="s">
        <v>149</v>
      </c>
      <c r="F64" s="9" t="s">
        <v>256</v>
      </c>
      <c r="G64" s="4" t="s">
        <v>28</v>
      </c>
      <c r="H64" s="4" t="s">
        <v>63</v>
      </c>
      <c r="I64" s="4"/>
      <c r="J64" s="10"/>
      <c r="K64" s="11" t="s">
        <v>64</v>
      </c>
      <c r="L64" s="13" t="s">
        <v>65</v>
      </c>
      <c r="M64" s="13" t="s">
        <v>151</v>
      </c>
      <c r="N64" s="4">
        <v>0.0</v>
      </c>
      <c r="O64" s="12"/>
      <c r="P64" s="12"/>
      <c r="Q64" s="2"/>
      <c r="R64" s="2"/>
      <c r="S64" s="2"/>
      <c r="T64" s="2"/>
      <c r="U64" s="2"/>
      <c r="V64" s="2"/>
      <c r="W64" s="2"/>
      <c r="X64" s="2"/>
      <c r="Y64" s="2"/>
      <c r="Z64" s="2"/>
    </row>
    <row r="65" ht="15.75" hidden="1" customHeight="1">
      <c r="A65" s="4" t="s">
        <v>438</v>
      </c>
      <c r="B65" s="4" t="s">
        <v>39</v>
      </c>
      <c r="C65" s="4" t="s">
        <v>439</v>
      </c>
      <c r="D65" s="4" t="s">
        <v>440</v>
      </c>
      <c r="E65" s="4" t="s">
        <v>155</v>
      </c>
      <c r="F65" s="9" t="s">
        <v>441</v>
      </c>
      <c r="G65" s="4" t="s">
        <v>29</v>
      </c>
      <c r="H65" s="4" t="s">
        <v>72</v>
      </c>
      <c r="I65" s="4" t="s">
        <v>261</v>
      </c>
      <c r="J65" s="10"/>
      <c r="K65" s="11" t="s">
        <v>64</v>
      </c>
      <c r="L65" s="13" t="s">
        <v>65</v>
      </c>
      <c r="M65" s="13" t="s">
        <v>442</v>
      </c>
      <c r="N65" s="4">
        <v>1.0</v>
      </c>
      <c r="O65" s="12"/>
      <c r="P65" s="12"/>
      <c r="Q65" s="2"/>
      <c r="R65" s="2"/>
      <c r="S65" s="2"/>
      <c r="T65" s="2"/>
      <c r="U65" s="2"/>
      <c r="V65" s="2"/>
      <c r="W65" s="2"/>
      <c r="X65" s="2"/>
      <c r="Y65" s="2"/>
      <c r="Z65" s="2"/>
    </row>
    <row r="66" ht="15.75" hidden="1" customHeight="1">
      <c r="A66" s="4" t="s">
        <v>443</v>
      </c>
      <c r="B66" s="4" t="s">
        <v>39</v>
      </c>
      <c r="C66" s="4" t="s">
        <v>444</v>
      </c>
      <c r="D66" s="4" t="s">
        <v>445</v>
      </c>
      <c r="E66" s="4" t="s">
        <v>149</v>
      </c>
      <c r="F66" s="9" t="s">
        <v>223</v>
      </c>
      <c r="G66" s="4" t="s">
        <v>28</v>
      </c>
      <c r="H66" s="4" t="s">
        <v>63</v>
      </c>
      <c r="I66" s="4"/>
      <c r="J66" s="10"/>
      <c r="K66" s="11" t="s">
        <v>64</v>
      </c>
      <c r="L66" s="13" t="s">
        <v>65</v>
      </c>
      <c r="M66" s="13" t="s">
        <v>151</v>
      </c>
      <c r="N66" s="4">
        <v>0.0</v>
      </c>
      <c r="O66" s="12"/>
      <c r="P66" s="12"/>
      <c r="Q66" s="2"/>
      <c r="R66" s="2"/>
      <c r="S66" s="2"/>
      <c r="T66" s="2"/>
      <c r="U66" s="2"/>
      <c r="V66" s="2"/>
      <c r="W66" s="2"/>
      <c r="X66" s="2"/>
      <c r="Y66" s="2"/>
      <c r="Z66" s="2"/>
    </row>
    <row r="67" ht="15.75" hidden="1" customHeight="1">
      <c r="A67" s="4" t="s">
        <v>446</v>
      </c>
      <c r="B67" s="4" t="s">
        <v>39</v>
      </c>
      <c r="C67" s="4" t="s">
        <v>447</v>
      </c>
      <c r="D67" s="4" t="s">
        <v>448</v>
      </c>
      <c r="E67" s="4" t="s">
        <v>155</v>
      </c>
      <c r="F67" s="9" t="s">
        <v>449</v>
      </c>
      <c r="G67" s="4" t="s">
        <v>29</v>
      </c>
      <c r="H67" s="4" t="s">
        <v>72</v>
      </c>
      <c r="I67" s="4" t="s">
        <v>138</v>
      </c>
      <c r="J67" s="10"/>
      <c r="K67" s="11" t="s">
        <v>64</v>
      </c>
      <c r="L67" s="13" t="s">
        <v>65</v>
      </c>
      <c r="M67" s="13" t="s">
        <v>422</v>
      </c>
      <c r="N67" s="4">
        <v>1.0</v>
      </c>
      <c r="O67" s="12"/>
      <c r="P67" s="12"/>
      <c r="Q67" s="2"/>
      <c r="R67" s="2"/>
      <c r="S67" s="2"/>
      <c r="T67" s="2"/>
      <c r="U67" s="2"/>
      <c r="V67" s="2"/>
      <c r="W67" s="2"/>
      <c r="X67" s="2"/>
      <c r="Y67" s="2"/>
      <c r="Z67" s="2"/>
    </row>
    <row r="68" ht="15.75" hidden="1" customHeight="1">
      <c r="A68" s="4" t="s">
        <v>450</v>
      </c>
      <c r="B68" s="4" t="s">
        <v>39</v>
      </c>
      <c r="C68" s="4" t="s">
        <v>451</v>
      </c>
      <c r="D68" s="4" t="s">
        <v>452</v>
      </c>
      <c r="E68" s="4" t="s">
        <v>136</v>
      </c>
      <c r="F68" s="9" t="s">
        <v>453</v>
      </c>
      <c r="G68" s="4" t="s">
        <v>29</v>
      </c>
      <c r="H68" s="4" t="s">
        <v>72</v>
      </c>
      <c r="I68" s="4" t="s">
        <v>138</v>
      </c>
      <c r="J68" s="10"/>
      <c r="K68" s="11" t="s">
        <v>64</v>
      </c>
      <c r="L68" s="13" t="s">
        <v>65</v>
      </c>
      <c r="M68" s="13" t="s">
        <v>454</v>
      </c>
      <c r="N68" s="4">
        <v>1.0</v>
      </c>
      <c r="O68" s="12"/>
      <c r="P68" s="12"/>
      <c r="Q68" s="2"/>
      <c r="R68" s="2"/>
      <c r="S68" s="2"/>
      <c r="T68" s="2"/>
      <c r="U68" s="2"/>
      <c r="V68" s="2"/>
      <c r="W68" s="2"/>
      <c r="X68" s="2"/>
      <c r="Y68" s="2"/>
      <c r="Z68" s="2"/>
    </row>
    <row r="69" ht="15.75" hidden="1" customHeight="1">
      <c r="A69" s="4" t="s">
        <v>455</v>
      </c>
      <c r="B69" s="4" t="s">
        <v>39</v>
      </c>
      <c r="C69" s="4" t="s">
        <v>456</v>
      </c>
      <c r="D69" s="4" t="s">
        <v>457</v>
      </c>
      <c r="E69" s="4" t="s">
        <v>149</v>
      </c>
      <c r="F69" s="9" t="s">
        <v>223</v>
      </c>
      <c r="G69" s="4" t="s">
        <v>28</v>
      </c>
      <c r="H69" s="4" t="s">
        <v>63</v>
      </c>
      <c r="I69" s="4"/>
      <c r="J69" s="10"/>
      <c r="K69" s="11" t="s">
        <v>64</v>
      </c>
      <c r="L69" s="13" t="s">
        <v>65</v>
      </c>
      <c r="M69" s="13" t="s">
        <v>151</v>
      </c>
      <c r="N69" s="4">
        <v>0.0</v>
      </c>
      <c r="O69" s="12"/>
      <c r="P69" s="12"/>
      <c r="Q69" s="2"/>
      <c r="R69" s="2"/>
      <c r="S69" s="2"/>
      <c r="T69" s="2"/>
      <c r="U69" s="2"/>
      <c r="V69" s="2"/>
      <c r="W69" s="2"/>
      <c r="X69" s="2"/>
      <c r="Y69" s="2"/>
      <c r="Z69" s="2"/>
    </row>
    <row r="70" ht="15.75" hidden="1" customHeight="1">
      <c r="A70" s="4" t="s">
        <v>458</v>
      </c>
      <c r="B70" s="4" t="s">
        <v>39</v>
      </c>
      <c r="C70" s="4" t="s">
        <v>459</v>
      </c>
      <c r="D70" s="4" t="s">
        <v>460</v>
      </c>
      <c r="E70" s="4" t="s">
        <v>155</v>
      </c>
      <c r="F70" s="9" t="s">
        <v>461</v>
      </c>
      <c r="G70" s="4" t="s">
        <v>28</v>
      </c>
      <c r="H70" s="4" t="s">
        <v>63</v>
      </c>
      <c r="I70" s="4" t="s">
        <v>138</v>
      </c>
      <c r="J70" s="10"/>
      <c r="K70" s="11" t="s">
        <v>64</v>
      </c>
      <c r="L70" s="13" t="s">
        <v>65</v>
      </c>
      <c r="M70" s="13" t="s">
        <v>462</v>
      </c>
      <c r="N70" s="4">
        <v>0.0</v>
      </c>
      <c r="O70" s="12"/>
      <c r="P70" s="12"/>
      <c r="Q70" s="2"/>
      <c r="R70" s="2"/>
      <c r="S70" s="2"/>
      <c r="T70" s="2"/>
      <c r="U70" s="2"/>
      <c r="V70" s="2"/>
      <c r="W70" s="2"/>
      <c r="X70" s="2"/>
      <c r="Y70" s="2"/>
      <c r="Z70" s="2"/>
    </row>
    <row r="71" ht="15.75" hidden="1" customHeight="1">
      <c r="A71" s="4" t="s">
        <v>463</v>
      </c>
      <c r="B71" s="4" t="s">
        <v>39</v>
      </c>
      <c r="C71" s="4" t="s">
        <v>464</v>
      </c>
      <c r="D71" s="4" t="s">
        <v>465</v>
      </c>
      <c r="E71" s="4" t="s">
        <v>432</v>
      </c>
      <c r="F71" s="9" t="s">
        <v>466</v>
      </c>
      <c r="G71" s="4" t="s">
        <v>28</v>
      </c>
      <c r="H71" s="4" t="s">
        <v>63</v>
      </c>
      <c r="I71" s="4"/>
      <c r="J71" s="10"/>
      <c r="K71" s="11" t="s">
        <v>64</v>
      </c>
      <c r="L71" s="13" t="s">
        <v>65</v>
      </c>
      <c r="M71" s="13" t="s">
        <v>467</v>
      </c>
      <c r="N71" s="4">
        <v>0.0</v>
      </c>
      <c r="O71" s="12"/>
      <c r="P71" s="12"/>
      <c r="Q71" s="2"/>
      <c r="R71" s="2"/>
      <c r="S71" s="2"/>
      <c r="T71" s="2"/>
      <c r="U71" s="2"/>
      <c r="V71" s="2"/>
      <c r="W71" s="2"/>
      <c r="X71" s="2"/>
      <c r="Y71" s="2"/>
      <c r="Z71" s="2"/>
    </row>
    <row r="72" ht="15.75" hidden="1" customHeight="1">
      <c r="A72" s="4" t="s">
        <v>468</v>
      </c>
      <c r="B72" s="4" t="s">
        <v>39</v>
      </c>
      <c r="C72" s="4" t="s">
        <v>469</v>
      </c>
      <c r="D72" s="4" t="s">
        <v>470</v>
      </c>
      <c r="E72" s="4" t="s">
        <v>471</v>
      </c>
      <c r="F72" s="9" t="s">
        <v>472</v>
      </c>
      <c r="G72" s="4" t="s">
        <v>29</v>
      </c>
      <c r="H72" s="4" t="s">
        <v>173</v>
      </c>
      <c r="I72" s="4"/>
      <c r="J72" s="10"/>
      <c r="K72" s="11" t="s">
        <v>64</v>
      </c>
      <c r="L72" s="13" t="s">
        <v>65</v>
      </c>
      <c r="M72" s="13" t="s">
        <v>174</v>
      </c>
      <c r="N72" s="4">
        <v>4.0</v>
      </c>
      <c r="O72" s="12"/>
      <c r="P72" s="12"/>
      <c r="Q72" s="2"/>
      <c r="R72" s="2"/>
      <c r="S72" s="2"/>
      <c r="T72" s="2"/>
      <c r="U72" s="2"/>
      <c r="V72" s="2"/>
      <c r="W72" s="2"/>
      <c r="X72" s="2"/>
      <c r="Y72" s="2"/>
      <c r="Z72" s="2"/>
    </row>
    <row r="73" ht="15.75" hidden="1" customHeight="1">
      <c r="A73" s="4" t="s">
        <v>473</v>
      </c>
      <c r="B73" s="4" t="s">
        <v>39</v>
      </c>
      <c r="C73" s="4" t="s">
        <v>474</v>
      </c>
      <c r="D73" s="4" t="s">
        <v>475</v>
      </c>
      <c r="E73" s="4" t="s">
        <v>178</v>
      </c>
      <c r="F73" s="9" t="s">
        <v>179</v>
      </c>
      <c r="G73" s="4" t="s">
        <v>27</v>
      </c>
      <c r="H73" s="4" t="s">
        <v>180</v>
      </c>
      <c r="I73" s="4"/>
      <c r="J73" s="10"/>
      <c r="K73" s="11" t="s">
        <v>64</v>
      </c>
      <c r="L73" s="13" t="s">
        <v>65</v>
      </c>
      <c r="M73" s="13" t="s">
        <v>181</v>
      </c>
      <c r="N73" s="4">
        <v>1.0</v>
      </c>
      <c r="O73" s="12"/>
      <c r="P73" s="12"/>
      <c r="Q73" s="2"/>
      <c r="R73" s="2"/>
      <c r="S73" s="2"/>
      <c r="T73" s="2"/>
      <c r="U73" s="2"/>
      <c r="V73" s="2"/>
      <c r="W73" s="2"/>
      <c r="X73" s="2"/>
      <c r="Y73" s="2"/>
      <c r="Z73" s="2"/>
    </row>
    <row r="74" ht="15.75" hidden="1" customHeight="1">
      <c r="A74" s="4" t="s">
        <v>476</v>
      </c>
      <c r="B74" s="4" t="s">
        <v>39</v>
      </c>
      <c r="C74" s="4" t="s">
        <v>477</v>
      </c>
      <c r="D74" s="4" t="s">
        <v>478</v>
      </c>
      <c r="E74" s="4" t="s">
        <v>185</v>
      </c>
      <c r="F74" s="9" t="s">
        <v>479</v>
      </c>
      <c r="G74" s="4" t="s">
        <v>29</v>
      </c>
      <c r="H74" s="4" t="s">
        <v>194</v>
      </c>
      <c r="I74" s="4" t="s">
        <v>138</v>
      </c>
      <c r="J74" s="10"/>
      <c r="K74" s="11" t="s">
        <v>64</v>
      </c>
      <c r="L74" s="13" t="s">
        <v>65</v>
      </c>
      <c r="M74" s="13" t="s">
        <v>480</v>
      </c>
      <c r="N74" s="4">
        <v>5.0</v>
      </c>
      <c r="O74" s="12"/>
      <c r="P74" s="12"/>
      <c r="Q74" s="2"/>
      <c r="R74" s="2"/>
      <c r="S74" s="2"/>
      <c r="T74" s="2"/>
      <c r="U74" s="2"/>
      <c r="V74" s="2"/>
      <c r="W74" s="2"/>
      <c r="X74" s="2"/>
      <c r="Y74" s="2"/>
      <c r="Z74" s="2"/>
    </row>
    <row r="75" ht="15.75" hidden="1" customHeight="1">
      <c r="A75" s="4" t="s">
        <v>481</v>
      </c>
      <c r="B75" s="4" t="s">
        <v>39</v>
      </c>
      <c r="C75" s="4" t="s">
        <v>482</v>
      </c>
      <c r="D75" s="4" t="s">
        <v>483</v>
      </c>
      <c r="E75" s="4" t="s">
        <v>149</v>
      </c>
      <c r="F75" s="9" t="s">
        <v>199</v>
      </c>
      <c r="G75" s="4" t="s">
        <v>28</v>
      </c>
      <c r="H75" s="4" t="s">
        <v>63</v>
      </c>
      <c r="I75" s="4"/>
      <c r="J75" s="10"/>
      <c r="K75" s="11" t="s">
        <v>64</v>
      </c>
      <c r="L75" s="13" t="s">
        <v>65</v>
      </c>
      <c r="M75" s="13" t="s">
        <v>151</v>
      </c>
      <c r="N75" s="4">
        <v>0.0</v>
      </c>
      <c r="O75" s="12"/>
      <c r="P75" s="12"/>
      <c r="Q75" s="2"/>
      <c r="R75" s="2"/>
      <c r="S75" s="2"/>
      <c r="T75" s="2"/>
      <c r="U75" s="2"/>
      <c r="V75" s="2"/>
      <c r="W75" s="2"/>
      <c r="X75" s="2"/>
      <c r="Y75" s="2"/>
      <c r="Z75" s="2"/>
    </row>
    <row r="76" ht="15.75" hidden="1" customHeight="1">
      <c r="A76" s="4" t="s">
        <v>484</v>
      </c>
      <c r="B76" s="4" t="s">
        <v>39</v>
      </c>
      <c r="C76" s="4" t="s">
        <v>485</v>
      </c>
      <c r="D76" s="4" t="s">
        <v>486</v>
      </c>
      <c r="E76" s="4" t="s">
        <v>155</v>
      </c>
      <c r="F76" s="9" t="s">
        <v>487</v>
      </c>
      <c r="G76" s="4" t="s">
        <v>29</v>
      </c>
      <c r="H76" s="4" t="s">
        <v>72</v>
      </c>
      <c r="I76" s="4" t="s">
        <v>488</v>
      </c>
      <c r="J76" s="10"/>
      <c r="K76" s="11" t="s">
        <v>64</v>
      </c>
      <c r="L76" s="13" t="s">
        <v>65</v>
      </c>
      <c r="M76" s="13" t="s">
        <v>489</v>
      </c>
      <c r="N76" s="4">
        <v>1.0</v>
      </c>
      <c r="O76" s="12"/>
      <c r="P76" s="12"/>
      <c r="Q76" s="2"/>
      <c r="R76" s="2"/>
      <c r="S76" s="2"/>
      <c r="T76" s="2"/>
      <c r="U76" s="2"/>
      <c r="V76" s="2"/>
      <c r="W76" s="2"/>
      <c r="X76" s="2"/>
      <c r="Y76" s="2"/>
      <c r="Z76" s="2"/>
    </row>
    <row r="77" ht="15.75" hidden="1" customHeight="1">
      <c r="A77" s="4" t="s">
        <v>490</v>
      </c>
      <c r="B77" s="4" t="s">
        <v>40</v>
      </c>
      <c r="C77" s="4" t="s">
        <v>491</v>
      </c>
      <c r="D77" s="4" t="s">
        <v>492</v>
      </c>
      <c r="E77" s="4" t="s">
        <v>493</v>
      </c>
      <c r="F77" s="9" t="s">
        <v>494</v>
      </c>
      <c r="G77" s="4" t="s">
        <v>27</v>
      </c>
      <c r="H77" s="4" t="s">
        <v>495</v>
      </c>
      <c r="I77" s="4"/>
      <c r="J77" s="10" t="s">
        <v>496</v>
      </c>
      <c r="K77" s="10" t="s">
        <v>238</v>
      </c>
      <c r="L77" s="12" t="s">
        <v>166</v>
      </c>
      <c r="M77" s="10" t="s">
        <v>497</v>
      </c>
      <c r="N77" s="4">
        <v>1.0</v>
      </c>
      <c r="O77" s="12"/>
      <c r="P77" s="12"/>
      <c r="Q77" s="2"/>
      <c r="R77" s="2"/>
      <c r="S77" s="2"/>
      <c r="T77" s="2"/>
      <c r="U77" s="2"/>
      <c r="V77" s="2"/>
      <c r="W77" s="2"/>
      <c r="X77" s="2"/>
      <c r="Y77" s="2"/>
      <c r="Z77" s="2"/>
    </row>
    <row r="78" ht="15.75" hidden="1" customHeight="1">
      <c r="A78" s="4" t="s">
        <v>498</v>
      </c>
      <c r="B78" s="4" t="s">
        <v>40</v>
      </c>
      <c r="C78" s="4" t="s">
        <v>499</v>
      </c>
      <c r="D78" s="4" t="s">
        <v>500</v>
      </c>
      <c r="E78" s="4" t="s">
        <v>501</v>
      </c>
      <c r="F78" s="9" t="s">
        <v>502</v>
      </c>
      <c r="G78" s="4" t="s">
        <v>27</v>
      </c>
      <c r="H78" s="4" t="s">
        <v>495</v>
      </c>
      <c r="I78" s="4"/>
      <c r="J78" s="10" t="s">
        <v>503</v>
      </c>
      <c r="K78" s="10" t="s">
        <v>238</v>
      </c>
      <c r="L78" s="12" t="s">
        <v>166</v>
      </c>
      <c r="M78" s="10" t="s">
        <v>497</v>
      </c>
      <c r="N78" s="4">
        <v>1.0</v>
      </c>
      <c r="O78" s="12"/>
      <c r="P78" s="12"/>
      <c r="Q78" s="2"/>
      <c r="R78" s="2"/>
      <c r="S78" s="2"/>
      <c r="T78" s="2"/>
      <c r="U78" s="2"/>
      <c r="V78" s="2"/>
      <c r="W78" s="2"/>
      <c r="X78" s="2"/>
      <c r="Y78" s="2"/>
      <c r="Z78" s="2"/>
    </row>
    <row r="79" ht="15.75" hidden="1" customHeight="1">
      <c r="A79" s="4" t="s">
        <v>504</v>
      </c>
      <c r="B79" s="4" t="s">
        <v>40</v>
      </c>
      <c r="C79" s="4" t="s">
        <v>505</v>
      </c>
      <c r="D79" s="4" t="s">
        <v>506</v>
      </c>
      <c r="E79" s="4" t="s">
        <v>507</v>
      </c>
      <c r="F79" s="9" t="s">
        <v>508</v>
      </c>
      <c r="G79" s="4" t="s">
        <v>27</v>
      </c>
      <c r="H79" s="4" t="s">
        <v>495</v>
      </c>
      <c r="I79" s="4"/>
      <c r="J79" s="10" t="s">
        <v>509</v>
      </c>
      <c r="K79" s="10" t="s">
        <v>238</v>
      </c>
      <c r="L79" s="12" t="s">
        <v>166</v>
      </c>
      <c r="M79" s="10" t="s">
        <v>497</v>
      </c>
      <c r="N79" s="4">
        <v>1.0</v>
      </c>
      <c r="O79" s="12"/>
      <c r="P79" s="12"/>
      <c r="Q79" s="2"/>
      <c r="R79" s="2"/>
      <c r="S79" s="2"/>
      <c r="T79" s="2"/>
      <c r="U79" s="2"/>
      <c r="V79" s="2"/>
      <c r="W79" s="2"/>
      <c r="X79" s="2"/>
      <c r="Y79" s="2"/>
      <c r="Z79" s="2"/>
    </row>
    <row r="80" ht="15.75" hidden="1" customHeight="1">
      <c r="A80" s="4" t="s">
        <v>510</v>
      </c>
      <c r="B80" s="4" t="s">
        <v>40</v>
      </c>
      <c r="C80" s="4" t="s">
        <v>511</v>
      </c>
      <c r="D80" s="4" t="s">
        <v>512</v>
      </c>
      <c r="E80" s="4" t="s">
        <v>513</v>
      </c>
      <c r="F80" s="9" t="s">
        <v>514</v>
      </c>
      <c r="G80" s="4" t="s">
        <v>27</v>
      </c>
      <c r="H80" s="4" t="s">
        <v>495</v>
      </c>
      <c r="I80" s="4"/>
      <c r="J80" s="10" t="s">
        <v>515</v>
      </c>
      <c r="K80" s="10" t="s">
        <v>238</v>
      </c>
      <c r="L80" s="12" t="s">
        <v>166</v>
      </c>
      <c r="M80" s="10" t="s">
        <v>516</v>
      </c>
      <c r="N80" s="4">
        <v>1.0</v>
      </c>
      <c r="O80" s="12"/>
      <c r="P80" s="12"/>
      <c r="Q80" s="2"/>
      <c r="R80" s="2"/>
      <c r="S80" s="2"/>
      <c r="T80" s="2"/>
      <c r="U80" s="2"/>
      <c r="V80" s="2"/>
      <c r="W80" s="2"/>
      <c r="X80" s="2"/>
      <c r="Y80" s="2"/>
      <c r="Z80" s="2"/>
    </row>
    <row r="81" ht="15.75" hidden="1" customHeight="1">
      <c r="A81" s="4" t="s">
        <v>517</v>
      </c>
      <c r="B81" s="4" t="s">
        <v>40</v>
      </c>
      <c r="C81" s="4" t="s">
        <v>518</v>
      </c>
      <c r="D81" s="4" t="s">
        <v>519</v>
      </c>
      <c r="E81" s="4" t="s">
        <v>520</v>
      </c>
      <c r="F81" s="9" t="s">
        <v>521</v>
      </c>
      <c r="G81" s="4" t="s">
        <v>27</v>
      </c>
      <c r="H81" s="4" t="s">
        <v>495</v>
      </c>
      <c r="I81" s="4"/>
      <c r="J81" s="10" t="s">
        <v>522</v>
      </c>
      <c r="K81" s="10" t="s">
        <v>238</v>
      </c>
      <c r="L81" s="12" t="s">
        <v>166</v>
      </c>
      <c r="M81" s="10" t="s">
        <v>497</v>
      </c>
      <c r="N81" s="4">
        <v>1.0</v>
      </c>
      <c r="O81" s="12"/>
      <c r="P81" s="12"/>
      <c r="Q81" s="2"/>
      <c r="R81" s="2"/>
      <c r="S81" s="2"/>
      <c r="T81" s="2"/>
      <c r="U81" s="2"/>
      <c r="V81" s="2"/>
      <c r="W81" s="2"/>
      <c r="X81" s="2"/>
      <c r="Y81" s="2"/>
      <c r="Z81" s="2"/>
    </row>
    <row r="82" ht="15.75" hidden="1" customHeight="1">
      <c r="A82" s="4" t="s">
        <v>523</v>
      </c>
      <c r="B82" s="4" t="s">
        <v>40</v>
      </c>
      <c r="C82" s="4" t="s">
        <v>524</v>
      </c>
      <c r="D82" s="4" t="s">
        <v>525</v>
      </c>
      <c r="E82" s="4" t="s">
        <v>526</v>
      </c>
      <c r="F82" s="9" t="s">
        <v>527</v>
      </c>
      <c r="G82" s="4" t="s">
        <v>27</v>
      </c>
      <c r="H82" s="4" t="s">
        <v>495</v>
      </c>
      <c r="I82" s="4"/>
      <c r="J82" s="10" t="s">
        <v>528</v>
      </c>
      <c r="K82" s="10" t="s">
        <v>238</v>
      </c>
      <c r="L82" s="12" t="s">
        <v>166</v>
      </c>
      <c r="M82" s="10" t="s">
        <v>529</v>
      </c>
      <c r="N82" s="4">
        <v>1.0</v>
      </c>
      <c r="O82" s="12"/>
      <c r="P82" s="12"/>
      <c r="Q82" s="2"/>
      <c r="R82" s="2"/>
      <c r="S82" s="2"/>
      <c r="T82" s="2"/>
      <c r="U82" s="2"/>
      <c r="V82" s="2"/>
      <c r="W82" s="2"/>
      <c r="X82" s="2"/>
      <c r="Y82" s="2"/>
      <c r="Z82" s="2"/>
    </row>
    <row r="83" ht="15.75" hidden="1" customHeight="1">
      <c r="A83" s="4" t="s">
        <v>530</v>
      </c>
      <c r="B83" s="4" t="s">
        <v>40</v>
      </c>
      <c r="C83" s="4" t="s">
        <v>531</v>
      </c>
      <c r="D83" s="4" t="s">
        <v>532</v>
      </c>
      <c r="E83" s="4" t="s">
        <v>533</v>
      </c>
      <c r="F83" s="9" t="s">
        <v>534</v>
      </c>
      <c r="G83" s="4" t="s">
        <v>27</v>
      </c>
      <c r="H83" s="4" t="s">
        <v>495</v>
      </c>
      <c r="I83" s="4"/>
      <c r="J83" s="10" t="s">
        <v>535</v>
      </c>
      <c r="K83" s="10" t="s">
        <v>238</v>
      </c>
      <c r="L83" s="12" t="s">
        <v>166</v>
      </c>
      <c r="M83" s="10" t="s">
        <v>536</v>
      </c>
      <c r="N83" s="4">
        <v>1.0</v>
      </c>
      <c r="O83" s="12"/>
      <c r="P83" s="12"/>
      <c r="Q83" s="2"/>
      <c r="R83" s="2"/>
      <c r="S83" s="2"/>
      <c r="T83" s="2"/>
      <c r="U83" s="2"/>
      <c r="V83" s="2"/>
      <c r="W83" s="2"/>
      <c r="X83" s="2"/>
      <c r="Y83" s="2"/>
      <c r="Z83" s="2"/>
    </row>
    <row r="84" ht="15.75" hidden="1" customHeight="1">
      <c r="A84" s="4" t="s">
        <v>537</v>
      </c>
      <c r="B84" s="4" t="s">
        <v>40</v>
      </c>
      <c r="C84" s="4" t="s">
        <v>538</v>
      </c>
      <c r="D84" s="4" t="s">
        <v>539</v>
      </c>
      <c r="E84" s="4" t="s">
        <v>540</v>
      </c>
      <c r="F84" s="9" t="s">
        <v>541</v>
      </c>
      <c r="G84" s="4" t="s">
        <v>29</v>
      </c>
      <c r="H84" s="4" t="s">
        <v>72</v>
      </c>
      <c r="I84" s="4"/>
      <c r="J84" s="10"/>
      <c r="K84" s="11" t="s">
        <v>64</v>
      </c>
      <c r="L84" s="13" t="s">
        <v>65</v>
      </c>
      <c r="M84" s="13" t="s">
        <v>542</v>
      </c>
      <c r="N84" s="4">
        <v>2.0</v>
      </c>
      <c r="O84" s="12"/>
      <c r="P84" s="12"/>
      <c r="Q84" s="2"/>
      <c r="R84" s="2"/>
      <c r="S84" s="2"/>
      <c r="T84" s="2"/>
      <c r="U84" s="2"/>
      <c r="V84" s="2"/>
      <c r="W84" s="2"/>
      <c r="X84" s="2"/>
      <c r="Y84" s="2"/>
      <c r="Z84" s="2"/>
    </row>
    <row r="85" ht="15.75" hidden="1" customHeight="1">
      <c r="A85" s="4" t="s">
        <v>543</v>
      </c>
      <c r="B85" s="4" t="s">
        <v>40</v>
      </c>
      <c r="C85" s="4" t="s">
        <v>544</v>
      </c>
      <c r="D85" s="4" t="s">
        <v>545</v>
      </c>
      <c r="E85" s="4" t="s">
        <v>149</v>
      </c>
      <c r="F85" s="9" t="s">
        <v>223</v>
      </c>
      <c r="G85" s="4" t="s">
        <v>28</v>
      </c>
      <c r="H85" s="4" t="s">
        <v>63</v>
      </c>
      <c r="I85" s="4"/>
      <c r="J85" s="10"/>
      <c r="K85" s="11" t="s">
        <v>64</v>
      </c>
      <c r="L85" s="13" t="s">
        <v>65</v>
      </c>
      <c r="M85" s="13" t="s">
        <v>151</v>
      </c>
      <c r="N85" s="4">
        <v>0.0</v>
      </c>
      <c r="O85" s="12"/>
      <c r="P85" s="12"/>
      <c r="Q85" s="2"/>
      <c r="R85" s="2"/>
      <c r="S85" s="2"/>
      <c r="T85" s="2"/>
      <c r="U85" s="2"/>
      <c r="V85" s="2"/>
      <c r="W85" s="2"/>
      <c r="X85" s="2"/>
      <c r="Y85" s="2"/>
      <c r="Z85" s="2"/>
    </row>
    <row r="86" ht="15.75" customHeight="1">
      <c r="A86" s="4" t="s">
        <v>546</v>
      </c>
      <c r="B86" s="4" t="s">
        <v>40</v>
      </c>
      <c r="C86" s="4" t="s">
        <v>547</v>
      </c>
      <c r="D86" s="4" t="s">
        <v>548</v>
      </c>
      <c r="E86" s="4" t="s">
        <v>549</v>
      </c>
      <c r="F86" s="9" t="s">
        <v>550</v>
      </c>
      <c r="G86" s="4" t="s">
        <v>27</v>
      </c>
      <c r="H86" s="4" t="s">
        <v>81</v>
      </c>
      <c r="I86" s="4"/>
      <c r="J86" s="10" t="s">
        <v>551</v>
      </c>
      <c r="K86" s="10" t="s">
        <v>74</v>
      </c>
      <c r="L86" s="12" t="s">
        <v>166</v>
      </c>
      <c r="M86" s="10" t="s">
        <v>552</v>
      </c>
      <c r="N86" s="4">
        <v>1.0</v>
      </c>
      <c r="O86" s="12"/>
      <c r="P86" s="12"/>
      <c r="Q86" s="2"/>
      <c r="R86" s="2"/>
      <c r="S86" s="2"/>
      <c r="T86" s="2"/>
      <c r="U86" s="2"/>
      <c r="V86" s="2"/>
      <c r="W86" s="2"/>
      <c r="X86" s="2"/>
      <c r="Y86" s="2"/>
      <c r="Z86" s="2"/>
    </row>
    <row r="87" ht="15.75" hidden="1" customHeight="1">
      <c r="A87" s="4" t="s">
        <v>553</v>
      </c>
      <c r="B87" s="4" t="s">
        <v>40</v>
      </c>
      <c r="C87" s="4" t="s">
        <v>554</v>
      </c>
      <c r="D87" s="4" t="s">
        <v>555</v>
      </c>
      <c r="E87" s="4" t="s">
        <v>556</v>
      </c>
      <c r="F87" s="9" t="s">
        <v>557</v>
      </c>
      <c r="G87" s="4" t="s">
        <v>29</v>
      </c>
      <c r="H87" s="4" t="s">
        <v>72</v>
      </c>
      <c r="I87" s="4" t="s">
        <v>138</v>
      </c>
      <c r="J87" s="10"/>
      <c r="K87" s="11" t="s">
        <v>64</v>
      </c>
      <c r="L87" s="13" t="s">
        <v>65</v>
      </c>
      <c r="M87" s="13" t="s">
        <v>558</v>
      </c>
      <c r="N87" s="4">
        <v>1.0</v>
      </c>
      <c r="O87" s="12"/>
      <c r="P87" s="12"/>
      <c r="Q87" s="2"/>
      <c r="R87" s="2"/>
      <c r="S87" s="2"/>
      <c r="T87" s="2"/>
      <c r="U87" s="2"/>
      <c r="V87" s="2"/>
      <c r="W87" s="2"/>
      <c r="X87" s="2"/>
      <c r="Y87" s="2"/>
      <c r="Z87" s="2"/>
    </row>
    <row r="88" ht="15.75" hidden="1" customHeight="1">
      <c r="A88" s="4" t="s">
        <v>559</v>
      </c>
      <c r="B88" s="4" t="s">
        <v>40</v>
      </c>
      <c r="C88" s="4" t="s">
        <v>560</v>
      </c>
      <c r="D88" s="4" t="s">
        <v>561</v>
      </c>
      <c r="E88" s="4" t="s">
        <v>149</v>
      </c>
      <c r="F88" s="9" t="s">
        <v>223</v>
      </c>
      <c r="G88" s="4" t="s">
        <v>28</v>
      </c>
      <c r="H88" s="4" t="s">
        <v>63</v>
      </c>
      <c r="I88" s="4"/>
      <c r="J88" s="10"/>
      <c r="K88" s="11" t="s">
        <v>64</v>
      </c>
      <c r="L88" s="13" t="s">
        <v>65</v>
      </c>
      <c r="M88" s="13" t="s">
        <v>151</v>
      </c>
      <c r="N88" s="4">
        <v>0.0</v>
      </c>
      <c r="O88" s="12"/>
      <c r="P88" s="12"/>
      <c r="Q88" s="2"/>
      <c r="R88" s="2"/>
      <c r="S88" s="2"/>
      <c r="T88" s="2"/>
      <c r="U88" s="2"/>
      <c r="V88" s="2"/>
      <c r="W88" s="2"/>
      <c r="X88" s="2"/>
      <c r="Y88" s="2"/>
      <c r="Z88" s="2"/>
    </row>
    <row r="89" ht="15.75" customHeight="1">
      <c r="A89" s="4" t="s">
        <v>562</v>
      </c>
      <c r="B89" s="4" t="s">
        <v>40</v>
      </c>
      <c r="C89" s="4" t="s">
        <v>563</v>
      </c>
      <c r="D89" s="4" t="s">
        <v>564</v>
      </c>
      <c r="E89" s="4" t="s">
        <v>565</v>
      </c>
      <c r="F89" s="9" t="s">
        <v>566</v>
      </c>
      <c r="G89" s="4" t="s">
        <v>27</v>
      </c>
      <c r="H89" s="4" t="s">
        <v>81</v>
      </c>
      <c r="I89" s="4" t="s">
        <v>97</v>
      </c>
      <c r="J89" s="10" t="s">
        <v>567</v>
      </c>
      <c r="K89" s="10" t="s">
        <v>74</v>
      </c>
      <c r="L89" s="12" t="s">
        <v>166</v>
      </c>
      <c r="M89" s="10" t="s">
        <v>568</v>
      </c>
      <c r="N89" s="4">
        <v>3.0</v>
      </c>
      <c r="O89" s="12"/>
      <c r="P89" s="12"/>
      <c r="Q89" s="2"/>
      <c r="R89" s="2"/>
      <c r="S89" s="2"/>
      <c r="T89" s="2"/>
      <c r="U89" s="2"/>
      <c r="V89" s="2"/>
      <c r="W89" s="2"/>
      <c r="X89" s="2"/>
      <c r="Y89" s="2"/>
      <c r="Z89" s="2"/>
    </row>
    <row r="90" ht="15.75" customHeight="1">
      <c r="A90" s="4" t="s">
        <v>569</v>
      </c>
      <c r="B90" s="4" t="s">
        <v>40</v>
      </c>
      <c r="C90" s="4" t="s">
        <v>570</v>
      </c>
      <c r="D90" s="4" t="s">
        <v>571</v>
      </c>
      <c r="E90" s="4" t="s">
        <v>572</v>
      </c>
      <c r="F90" s="9" t="s">
        <v>573</v>
      </c>
      <c r="G90" s="4" t="s">
        <v>27</v>
      </c>
      <c r="H90" s="4" t="s">
        <v>81</v>
      </c>
      <c r="I90" s="4"/>
      <c r="J90" s="10" t="s">
        <v>574</v>
      </c>
      <c r="K90" s="10" t="s">
        <v>74</v>
      </c>
      <c r="L90" s="12" t="s">
        <v>166</v>
      </c>
      <c r="M90" s="10" t="s">
        <v>575</v>
      </c>
      <c r="N90" s="4">
        <v>1.0</v>
      </c>
      <c r="O90" s="12"/>
      <c r="P90" s="12"/>
      <c r="Q90" s="2"/>
      <c r="R90" s="2"/>
      <c r="S90" s="2"/>
      <c r="T90" s="2"/>
      <c r="U90" s="2"/>
      <c r="V90" s="2"/>
      <c r="W90" s="2"/>
      <c r="X90" s="2"/>
      <c r="Y90" s="2"/>
      <c r="Z90" s="2"/>
    </row>
    <row r="91" ht="15.75" hidden="1" customHeight="1">
      <c r="A91" s="4" t="s">
        <v>576</v>
      </c>
      <c r="B91" s="4" t="s">
        <v>40</v>
      </c>
      <c r="C91" s="4" t="s">
        <v>577</v>
      </c>
      <c r="D91" s="4" t="s">
        <v>578</v>
      </c>
      <c r="E91" s="4" t="s">
        <v>579</v>
      </c>
      <c r="F91" s="9" t="s">
        <v>580</v>
      </c>
      <c r="G91" s="4" t="s">
        <v>29</v>
      </c>
      <c r="H91" s="4" t="s">
        <v>72</v>
      </c>
      <c r="I91" s="4"/>
      <c r="J91" s="10"/>
      <c r="K91" s="11" t="s">
        <v>64</v>
      </c>
      <c r="L91" s="13" t="s">
        <v>65</v>
      </c>
      <c r="M91" s="13" t="s">
        <v>581</v>
      </c>
      <c r="N91" s="4">
        <v>1.0</v>
      </c>
      <c r="O91" s="12"/>
      <c r="P91" s="12"/>
      <c r="Q91" s="2"/>
      <c r="R91" s="2"/>
      <c r="S91" s="2"/>
      <c r="T91" s="2"/>
      <c r="U91" s="2"/>
      <c r="V91" s="2"/>
      <c r="W91" s="2"/>
      <c r="X91" s="2"/>
      <c r="Y91" s="2"/>
      <c r="Z91" s="2"/>
    </row>
    <row r="92" ht="15.75" hidden="1" customHeight="1">
      <c r="A92" s="4" t="s">
        <v>582</v>
      </c>
      <c r="B92" s="4" t="s">
        <v>40</v>
      </c>
      <c r="C92" s="4" t="s">
        <v>583</v>
      </c>
      <c r="D92" s="4" t="s">
        <v>584</v>
      </c>
      <c r="E92" s="4" t="s">
        <v>149</v>
      </c>
      <c r="F92" s="9" t="s">
        <v>223</v>
      </c>
      <c r="G92" s="4" t="s">
        <v>28</v>
      </c>
      <c r="H92" s="4" t="s">
        <v>63</v>
      </c>
      <c r="I92" s="4"/>
      <c r="J92" s="10"/>
      <c r="K92" s="11" t="s">
        <v>64</v>
      </c>
      <c r="L92" s="13" t="s">
        <v>65</v>
      </c>
      <c r="M92" s="13" t="s">
        <v>151</v>
      </c>
      <c r="N92" s="4">
        <v>0.0</v>
      </c>
      <c r="O92" s="12"/>
      <c r="P92" s="12"/>
      <c r="Q92" s="2"/>
      <c r="R92" s="2"/>
      <c r="S92" s="2"/>
      <c r="T92" s="2"/>
      <c r="U92" s="2"/>
      <c r="V92" s="2"/>
      <c r="W92" s="2"/>
      <c r="X92" s="2"/>
      <c r="Y92" s="2"/>
      <c r="Z92" s="2"/>
    </row>
    <row r="93" ht="15.75" customHeight="1">
      <c r="A93" s="4" t="s">
        <v>585</v>
      </c>
      <c r="B93" s="4" t="s">
        <v>40</v>
      </c>
      <c r="C93" s="4" t="s">
        <v>586</v>
      </c>
      <c r="D93" s="4" t="s">
        <v>587</v>
      </c>
      <c r="E93" s="4" t="s">
        <v>588</v>
      </c>
      <c r="F93" s="9" t="s">
        <v>589</v>
      </c>
      <c r="G93" s="4" t="s">
        <v>27</v>
      </c>
      <c r="H93" s="4" t="s">
        <v>590</v>
      </c>
      <c r="I93" s="4" t="s">
        <v>97</v>
      </c>
      <c r="J93" s="10" t="s">
        <v>591</v>
      </c>
      <c r="K93" s="10" t="s">
        <v>74</v>
      </c>
      <c r="L93" s="12" t="s">
        <v>166</v>
      </c>
      <c r="M93" s="10" t="s">
        <v>592</v>
      </c>
      <c r="N93" s="4">
        <v>6.0</v>
      </c>
      <c r="O93" s="12"/>
      <c r="P93" s="12"/>
      <c r="Q93" s="2"/>
      <c r="R93" s="2"/>
      <c r="S93" s="2"/>
      <c r="T93" s="2"/>
      <c r="U93" s="2"/>
      <c r="V93" s="2"/>
      <c r="W93" s="2"/>
      <c r="X93" s="2"/>
      <c r="Y93" s="2"/>
      <c r="Z93" s="2"/>
    </row>
    <row r="94" ht="15.75" hidden="1" customHeight="1">
      <c r="A94" s="4" t="s">
        <v>593</v>
      </c>
      <c r="B94" s="4" t="s">
        <v>40</v>
      </c>
      <c r="C94" s="4" t="s">
        <v>594</v>
      </c>
      <c r="D94" s="4" t="s">
        <v>595</v>
      </c>
      <c r="E94" s="4" t="s">
        <v>596</v>
      </c>
      <c r="F94" s="9" t="s">
        <v>597</v>
      </c>
      <c r="G94" s="4" t="s">
        <v>29</v>
      </c>
      <c r="H94" s="4" t="s">
        <v>72</v>
      </c>
      <c r="I94" s="4"/>
      <c r="J94" s="10"/>
      <c r="K94" s="11" t="s">
        <v>64</v>
      </c>
      <c r="L94" s="13" t="s">
        <v>65</v>
      </c>
      <c r="M94" s="13" t="s">
        <v>598</v>
      </c>
      <c r="N94" s="4">
        <v>2.0</v>
      </c>
      <c r="O94" s="12"/>
      <c r="P94" s="12"/>
      <c r="Q94" s="2"/>
      <c r="R94" s="2"/>
      <c r="S94" s="2"/>
      <c r="T94" s="2"/>
      <c r="U94" s="2"/>
      <c r="V94" s="2"/>
      <c r="W94" s="2"/>
      <c r="X94" s="2"/>
      <c r="Y94" s="2"/>
      <c r="Z94" s="2"/>
    </row>
    <row r="95" ht="15.75" hidden="1" customHeight="1">
      <c r="A95" s="4" t="s">
        <v>599</v>
      </c>
      <c r="B95" s="4" t="s">
        <v>40</v>
      </c>
      <c r="C95" s="4" t="s">
        <v>600</v>
      </c>
      <c r="D95" s="4" t="s">
        <v>601</v>
      </c>
      <c r="E95" s="4" t="s">
        <v>149</v>
      </c>
      <c r="F95" s="9" t="s">
        <v>150</v>
      </c>
      <c r="G95" s="4" t="s">
        <v>28</v>
      </c>
      <c r="H95" s="4" t="s">
        <v>63</v>
      </c>
      <c r="I95" s="4"/>
      <c r="J95" s="10"/>
      <c r="K95" s="11" t="s">
        <v>64</v>
      </c>
      <c r="L95" s="13" t="s">
        <v>65</v>
      </c>
      <c r="M95" s="13" t="s">
        <v>151</v>
      </c>
      <c r="N95" s="4">
        <v>0.0</v>
      </c>
      <c r="O95" s="12"/>
      <c r="P95" s="12"/>
      <c r="Q95" s="2"/>
      <c r="R95" s="2"/>
      <c r="S95" s="2"/>
      <c r="T95" s="2"/>
      <c r="U95" s="2"/>
      <c r="V95" s="2"/>
      <c r="W95" s="2"/>
      <c r="X95" s="2"/>
      <c r="Y95" s="2"/>
      <c r="Z95" s="2"/>
    </row>
    <row r="96" ht="15.75" hidden="1" customHeight="1">
      <c r="A96" s="4" t="s">
        <v>602</v>
      </c>
      <c r="B96" s="4" t="s">
        <v>40</v>
      </c>
      <c r="C96" s="4" t="s">
        <v>603</v>
      </c>
      <c r="D96" s="4" t="s">
        <v>604</v>
      </c>
      <c r="E96" s="4" t="s">
        <v>605</v>
      </c>
      <c r="F96" s="9" t="s">
        <v>606</v>
      </c>
      <c r="G96" s="4" t="s">
        <v>29</v>
      </c>
      <c r="H96" s="4" t="s">
        <v>72</v>
      </c>
      <c r="I96" s="4"/>
      <c r="J96" s="10"/>
      <c r="K96" s="11" t="s">
        <v>64</v>
      </c>
      <c r="L96" s="13" t="s">
        <v>65</v>
      </c>
      <c r="M96" s="13" t="s">
        <v>607</v>
      </c>
      <c r="N96" s="4">
        <v>2.0</v>
      </c>
      <c r="O96" s="12"/>
      <c r="P96" s="12"/>
      <c r="Q96" s="2"/>
      <c r="R96" s="2"/>
      <c r="S96" s="2"/>
      <c r="T96" s="2"/>
      <c r="U96" s="2"/>
      <c r="V96" s="2"/>
      <c r="W96" s="2"/>
      <c r="X96" s="2"/>
      <c r="Y96" s="2"/>
      <c r="Z96" s="2"/>
    </row>
    <row r="97" ht="15.75" hidden="1" customHeight="1">
      <c r="A97" s="4" t="s">
        <v>608</v>
      </c>
      <c r="B97" s="4" t="s">
        <v>40</v>
      </c>
      <c r="C97" s="4" t="s">
        <v>609</v>
      </c>
      <c r="D97" s="4" t="s">
        <v>190</v>
      </c>
      <c r="E97" s="4" t="s">
        <v>149</v>
      </c>
      <c r="F97" s="9" t="s">
        <v>150</v>
      </c>
      <c r="G97" s="4" t="s">
        <v>28</v>
      </c>
      <c r="H97" s="4" t="s">
        <v>63</v>
      </c>
      <c r="I97" s="4"/>
      <c r="J97" s="10"/>
      <c r="K97" s="11" t="s">
        <v>64</v>
      </c>
      <c r="L97" s="13" t="s">
        <v>65</v>
      </c>
      <c r="M97" s="13" t="s">
        <v>151</v>
      </c>
      <c r="N97" s="4">
        <v>0.0</v>
      </c>
      <c r="O97" s="12"/>
      <c r="P97" s="12"/>
      <c r="Q97" s="2"/>
      <c r="R97" s="2"/>
      <c r="S97" s="2"/>
      <c r="T97" s="2"/>
      <c r="U97" s="2"/>
      <c r="V97" s="2"/>
      <c r="W97" s="2"/>
      <c r="X97" s="2"/>
      <c r="Y97" s="2"/>
      <c r="Z97" s="2"/>
    </row>
    <row r="98" ht="15.75" hidden="1" customHeight="1">
      <c r="A98" s="4" t="s">
        <v>610</v>
      </c>
      <c r="B98" s="4" t="s">
        <v>40</v>
      </c>
      <c r="C98" s="4" t="s">
        <v>611</v>
      </c>
      <c r="D98" s="4" t="s">
        <v>612</v>
      </c>
      <c r="E98" s="4" t="s">
        <v>613</v>
      </c>
      <c r="F98" s="9" t="s">
        <v>614</v>
      </c>
      <c r="G98" s="4" t="s">
        <v>29</v>
      </c>
      <c r="H98" s="4" t="s">
        <v>72</v>
      </c>
      <c r="I98" s="4"/>
      <c r="J98" s="10"/>
      <c r="K98" s="11" t="s">
        <v>64</v>
      </c>
      <c r="L98" s="13" t="s">
        <v>65</v>
      </c>
      <c r="M98" s="13" t="s">
        <v>615</v>
      </c>
      <c r="N98" s="4">
        <v>2.0</v>
      </c>
      <c r="O98" s="12"/>
      <c r="P98" s="12"/>
      <c r="Q98" s="2"/>
      <c r="R98" s="2"/>
      <c r="S98" s="2"/>
      <c r="T98" s="2"/>
      <c r="U98" s="2"/>
      <c r="V98" s="2"/>
      <c r="W98" s="2"/>
      <c r="X98" s="2"/>
      <c r="Y98" s="2"/>
      <c r="Z98" s="2"/>
    </row>
    <row r="99" ht="15.75" hidden="1" customHeight="1">
      <c r="A99" s="4" t="s">
        <v>616</v>
      </c>
      <c r="B99" s="4" t="s">
        <v>40</v>
      </c>
      <c r="C99" s="4" t="s">
        <v>617</v>
      </c>
      <c r="D99" s="4" t="s">
        <v>618</v>
      </c>
      <c r="E99" s="4" t="s">
        <v>149</v>
      </c>
      <c r="F99" s="9" t="s">
        <v>150</v>
      </c>
      <c r="G99" s="4" t="s">
        <v>28</v>
      </c>
      <c r="H99" s="4" t="s">
        <v>63</v>
      </c>
      <c r="I99" s="4"/>
      <c r="J99" s="10"/>
      <c r="K99" s="11" t="s">
        <v>64</v>
      </c>
      <c r="L99" s="13" t="s">
        <v>65</v>
      </c>
      <c r="M99" s="13" t="s">
        <v>151</v>
      </c>
      <c r="N99" s="4">
        <v>0.0</v>
      </c>
      <c r="O99" s="12"/>
      <c r="P99" s="12"/>
      <c r="Q99" s="2"/>
      <c r="R99" s="2"/>
      <c r="S99" s="2"/>
      <c r="T99" s="2"/>
      <c r="U99" s="2"/>
      <c r="V99" s="2"/>
      <c r="W99" s="2"/>
      <c r="X99" s="2"/>
      <c r="Y99" s="2"/>
      <c r="Z99" s="2"/>
    </row>
    <row r="100" ht="15.75" hidden="1" customHeight="1">
      <c r="A100" s="4" t="s">
        <v>619</v>
      </c>
      <c r="B100" s="4" t="s">
        <v>40</v>
      </c>
      <c r="C100" s="4" t="s">
        <v>620</v>
      </c>
      <c r="D100" s="4" t="s">
        <v>621</v>
      </c>
      <c r="E100" s="4" t="s">
        <v>622</v>
      </c>
      <c r="F100" s="9" t="s">
        <v>623</v>
      </c>
      <c r="G100" s="4" t="s">
        <v>29</v>
      </c>
      <c r="H100" s="4" t="s">
        <v>72</v>
      </c>
      <c r="I100" s="4"/>
      <c r="J100" s="10"/>
      <c r="K100" s="11" t="s">
        <v>64</v>
      </c>
      <c r="L100" s="13" t="s">
        <v>65</v>
      </c>
      <c r="M100" s="13" t="s">
        <v>624</v>
      </c>
      <c r="N100" s="4">
        <v>1.0</v>
      </c>
      <c r="O100" s="12"/>
      <c r="P100" s="12"/>
      <c r="Q100" s="2"/>
      <c r="R100" s="2"/>
      <c r="S100" s="2"/>
      <c r="T100" s="2"/>
      <c r="U100" s="2"/>
      <c r="V100" s="2"/>
      <c r="W100" s="2"/>
      <c r="X100" s="2"/>
      <c r="Y100" s="2"/>
      <c r="Z100" s="2"/>
    </row>
    <row r="101" ht="15.75" hidden="1" customHeight="1">
      <c r="A101" s="4" t="s">
        <v>625</v>
      </c>
      <c r="B101" s="4" t="s">
        <v>40</v>
      </c>
      <c r="C101" s="4" t="s">
        <v>626</v>
      </c>
      <c r="D101" s="4" t="s">
        <v>627</v>
      </c>
      <c r="E101" s="4" t="s">
        <v>149</v>
      </c>
      <c r="F101" s="9" t="s">
        <v>223</v>
      </c>
      <c r="G101" s="4" t="s">
        <v>28</v>
      </c>
      <c r="H101" s="4" t="s">
        <v>63</v>
      </c>
      <c r="I101" s="4"/>
      <c r="J101" s="10"/>
      <c r="K101" s="11" t="s">
        <v>64</v>
      </c>
      <c r="L101" s="13" t="s">
        <v>65</v>
      </c>
      <c r="M101" s="13" t="s">
        <v>151</v>
      </c>
      <c r="N101" s="4">
        <v>0.0</v>
      </c>
      <c r="O101" s="12"/>
      <c r="P101" s="12"/>
      <c r="Q101" s="2"/>
      <c r="R101" s="2"/>
      <c r="S101" s="2"/>
      <c r="T101" s="2"/>
      <c r="U101" s="2"/>
      <c r="V101" s="2"/>
      <c r="W101" s="2"/>
      <c r="X101" s="2"/>
      <c r="Y101" s="2"/>
      <c r="Z101" s="2"/>
    </row>
    <row r="102" ht="15.75" hidden="1" customHeight="1">
      <c r="A102" s="4" t="s">
        <v>628</v>
      </c>
      <c r="B102" s="4" t="s">
        <v>40</v>
      </c>
      <c r="C102" s="4" t="s">
        <v>629</v>
      </c>
      <c r="D102" s="4" t="s">
        <v>630</v>
      </c>
      <c r="E102" s="4" t="s">
        <v>155</v>
      </c>
      <c r="F102" s="9" t="s">
        <v>631</v>
      </c>
      <c r="G102" s="4" t="s">
        <v>29</v>
      </c>
      <c r="H102" s="4" t="s">
        <v>72</v>
      </c>
      <c r="I102" s="4" t="s">
        <v>632</v>
      </c>
      <c r="J102" s="10"/>
      <c r="K102" s="11" t="s">
        <v>64</v>
      </c>
      <c r="L102" s="13" t="s">
        <v>65</v>
      </c>
      <c r="M102" s="13" t="s">
        <v>633</v>
      </c>
      <c r="N102" s="4">
        <v>2.0</v>
      </c>
      <c r="O102" s="12"/>
      <c r="P102" s="12"/>
      <c r="Q102" s="2"/>
      <c r="R102" s="2"/>
      <c r="S102" s="2"/>
      <c r="T102" s="2"/>
      <c r="U102" s="2"/>
      <c r="V102" s="2"/>
      <c r="W102" s="2"/>
      <c r="X102" s="2"/>
      <c r="Y102" s="2"/>
      <c r="Z102" s="2"/>
    </row>
    <row r="103" ht="15.75" customHeight="1">
      <c r="A103" s="4" t="s">
        <v>634</v>
      </c>
      <c r="B103" s="4" t="s">
        <v>40</v>
      </c>
      <c r="C103" s="4" t="s">
        <v>635</v>
      </c>
      <c r="D103" s="4" t="s">
        <v>636</v>
      </c>
      <c r="E103" s="4" t="s">
        <v>637</v>
      </c>
      <c r="F103" s="9" t="s">
        <v>638</v>
      </c>
      <c r="G103" s="4" t="s">
        <v>27</v>
      </c>
      <c r="H103" s="4" t="s">
        <v>81</v>
      </c>
      <c r="I103" s="4" t="s">
        <v>97</v>
      </c>
      <c r="J103" s="10" t="s">
        <v>639</v>
      </c>
      <c r="K103" s="10" t="s">
        <v>74</v>
      </c>
      <c r="L103" s="12" t="s">
        <v>166</v>
      </c>
      <c r="M103" s="10" t="s">
        <v>640</v>
      </c>
      <c r="N103" s="4">
        <v>2.0</v>
      </c>
      <c r="O103" s="12"/>
      <c r="P103" s="12"/>
      <c r="Q103" s="2"/>
      <c r="R103" s="2"/>
      <c r="S103" s="2"/>
      <c r="T103" s="2"/>
      <c r="U103" s="2"/>
      <c r="V103" s="2"/>
      <c r="W103" s="2"/>
      <c r="X103" s="2"/>
      <c r="Y103" s="2"/>
      <c r="Z103" s="2"/>
    </row>
    <row r="104" ht="15.75" customHeight="1">
      <c r="A104" s="4" t="s">
        <v>641</v>
      </c>
      <c r="B104" s="4" t="s">
        <v>40</v>
      </c>
      <c r="C104" s="4" t="s">
        <v>642</v>
      </c>
      <c r="D104" s="4" t="s">
        <v>643</v>
      </c>
      <c r="E104" s="4" t="s">
        <v>644</v>
      </c>
      <c r="F104" s="9" t="s">
        <v>645</v>
      </c>
      <c r="G104" s="4" t="s">
        <v>27</v>
      </c>
      <c r="H104" s="4" t="s">
        <v>81</v>
      </c>
      <c r="I104" s="4" t="s">
        <v>97</v>
      </c>
      <c r="J104" s="10" t="s">
        <v>646</v>
      </c>
      <c r="K104" s="10" t="s">
        <v>74</v>
      </c>
      <c r="L104" s="12" t="s">
        <v>166</v>
      </c>
      <c r="M104" s="10" t="s">
        <v>647</v>
      </c>
      <c r="N104" s="4">
        <v>2.0</v>
      </c>
      <c r="O104" s="12"/>
      <c r="P104" s="12"/>
      <c r="Q104" s="2"/>
      <c r="R104" s="2"/>
      <c r="S104" s="2"/>
      <c r="T104" s="2"/>
      <c r="U104" s="2"/>
      <c r="V104" s="2"/>
      <c r="W104" s="2"/>
      <c r="X104" s="2"/>
      <c r="Y104" s="2"/>
      <c r="Z104" s="2"/>
    </row>
    <row r="105" ht="15.75" customHeight="1">
      <c r="A105" s="4" t="s">
        <v>648</v>
      </c>
      <c r="B105" s="4" t="s">
        <v>40</v>
      </c>
      <c r="C105" s="4" t="s">
        <v>649</v>
      </c>
      <c r="D105" s="4" t="s">
        <v>650</v>
      </c>
      <c r="E105" s="4" t="s">
        <v>651</v>
      </c>
      <c r="F105" s="9" t="s">
        <v>652</v>
      </c>
      <c r="G105" s="4" t="s">
        <v>27</v>
      </c>
      <c r="H105" s="4" t="s">
        <v>81</v>
      </c>
      <c r="I105" s="4" t="s">
        <v>97</v>
      </c>
      <c r="J105" s="10" t="s">
        <v>653</v>
      </c>
      <c r="K105" s="10" t="s">
        <v>74</v>
      </c>
      <c r="L105" s="12" t="s">
        <v>166</v>
      </c>
      <c r="M105" s="10" t="s">
        <v>654</v>
      </c>
      <c r="N105" s="4">
        <v>1.0</v>
      </c>
      <c r="O105" s="12"/>
      <c r="P105" s="12"/>
      <c r="Q105" s="2"/>
      <c r="R105" s="2"/>
      <c r="S105" s="2"/>
      <c r="T105" s="2"/>
      <c r="U105" s="2"/>
      <c r="V105" s="2"/>
      <c r="W105" s="2"/>
      <c r="X105" s="2"/>
      <c r="Y105" s="2"/>
      <c r="Z105" s="2"/>
    </row>
    <row r="106" ht="15.75" customHeight="1">
      <c r="A106" s="4" t="s">
        <v>655</v>
      </c>
      <c r="B106" s="4" t="s">
        <v>40</v>
      </c>
      <c r="C106" s="4" t="s">
        <v>656</v>
      </c>
      <c r="D106" s="4" t="s">
        <v>657</v>
      </c>
      <c r="E106" s="4" t="s">
        <v>658</v>
      </c>
      <c r="F106" s="9" t="s">
        <v>659</v>
      </c>
      <c r="G106" s="4" t="s">
        <v>27</v>
      </c>
      <c r="H106" s="4" t="s">
        <v>81</v>
      </c>
      <c r="I106" s="4"/>
      <c r="J106" s="10" t="s">
        <v>660</v>
      </c>
      <c r="K106" s="10" t="s">
        <v>74</v>
      </c>
      <c r="L106" s="12" t="s">
        <v>166</v>
      </c>
      <c r="M106" s="10" t="s">
        <v>661</v>
      </c>
      <c r="N106" s="4">
        <v>3.0</v>
      </c>
      <c r="O106" s="12"/>
      <c r="P106" s="12"/>
      <c r="Q106" s="2"/>
      <c r="R106" s="2"/>
      <c r="S106" s="2"/>
      <c r="T106" s="2"/>
      <c r="U106" s="2"/>
      <c r="V106" s="2"/>
      <c r="W106" s="2"/>
      <c r="X106" s="2"/>
      <c r="Y106" s="2"/>
      <c r="Z106" s="2"/>
    </row>
    <row r="107" ht="15.75" customHeight="1">
      <c r="A107" s="4" t="s">
        <v>662</v>
      </c>
      <c r="B107" s="4" t="s">
        <v>40</v>
      </c>
      <c r="C107" s="4" t="s">
        <v>663</v>
      </c>
      <c r="D107" s="4" t="s">
        <v>664</v>
      </c>
      <c r="E107" s="4" t="s">
        <v>665</v>
      </c>
      <c r="F107" s="9" t="s">
        <v>666</v>
      </c>
      <c r="G107" s="4" t="s">
        <v>27</v>
      </c>
      <c r="H107" s="4" t="s">
        <v>81</v>
      </c>
      <c r="I107" s="4" t="s">
        <v>97</v>
      </c>
      <c r="J107" s="10" t="s">
        <v>667</v>
      </c>
      <c r="K107" s="10" t="s">
        <v>74</v>
      </c>
      <c r="L107" s="12" t="s">
        <v>166</v>
      </c>
      <c r="M107" s="10" t="s">
        <v>668</v>
      </c>
      <c r="N107" s="4">
        <v>1.0</v>
      </c>
      <c r="O107" s="12"/>
      <c r="P107" s="12"/>
      <c r="Q107" s="2"/>
      <c r="R107" s="2"/>
      <c r="S107" s="2"/>
      <c r="T107" s="2"/>
      <c r="U107" s="2"/>
      <c r="V107" s="2"/>
      <c r="W107" s="2"/>
      <c r="X107" s="2"/>
      <c r="Y107" s="2"/>
      <c r="Z107" s="2"/>
    </row>
    <row r="108" ht="15.75" hidden="1" customHeight="1">
      <c r="A108" s="4" t="s">
        <v>669</v>
      </c>
      <c r="B108" s="4" t="s">
        <v>41</v>
      </c>
      <c r="C108" s="4" t="s">
        <v>670</v>
      </c>
      <c r="D108" s="4" t="s">
        <v>671</v>
      </c>
      <c r="E108" s="4" t="s">
        <v>493</v>
      </c>
      <c r="F108" s="9" t="s">
        <v>672</v>
      </c>
      <c r="G108" s="4" t="s">
        <v>27</v>
      </c>
      <c r="H108" s="4" t="s">
        <v>495</v>
      </c>
      <c r="I108" s="4"/>
      <c r="J108" s="10" t="s">
        <v>496</v>
      </c>
      <c r="K108" s="10" t="s">
        <v>238</v>
      </c>
      <c r="L108" s="12" t="s">
        <v>166</v>
      </c>
      <c r="M108" s="10" t="s">
        <v>497</v>
      </c>
      <c r="N108" s="4">
        <v>1.0</v>
      </c>
      <c r="O108" s="12"/>
      <c r="P108" s="12"/>
      <c r="Q108" s="2"/>
      <c r="R108" s="2"/>
      <c r="S108" s="2"/>
      <c r="T108" s="2"/>
      <c r="U108" s="2"/>
      <c r="V108" s="2"/>
      <c r="W108" s="2"/>
      <c r="X108" s="2"/>
      <c r="Y108" s="2"/>
      <c r="Z108" s="2"/>
    </row>
    <row r="109" ht="15.75" hidden="1" customHeight="1">
      <c r="A109" s="4" t="s">
        <v>673</v>
      </c>
      <c r="B109" s="4" t="s">
        <v>41</v>
      </c>
      <c r="C109" s="4" t="s">
        <v>674</v>
      </c>
      <c r="D109" s="4" t="s">
        <v>675</v>
      </c>
      <c r="E109" s="4" t="s">
        <v>501</v>
      </c>
      <c r="F109" s="9" t="s">
        <v>502</v>
      </c>
      <c r="G109" s="4" t="s">
        <v>27</v>
      </c>
      <c r="H109" s="4" t="s">
        <v>495</v>
      </c>
      <c r="I109" s="4"/>
      <c r="J109" s="10" t="s">
        <v>503</v>
      </c>
      <c r="K109" s="10" t="s">
        <v>238</v>
      </c>
      <c r="L109" s="12" t="s">
        <v>166</v>
      </c>
      <c r="M109" s="10" t="s">
        <v>497</v>
      </c>
      <c r="N109" s="4">
        <v>1.0</v>
      </c>
      <c r="O109" s="12"/>
      <c r="P109" s="12"/>
      <c r="Q109" s="2"/>
      <c r="R109" s="2"/>
      <c r="S109" s="2"/>
      <c r="T109" s="2"/>
      <c r="U109" s="2"/>
      <c r="V109" s="2"/>
      <c r="W109" s="2"/>
      <c r="X109" s="2"/>
      <c r="Y109" s="2"/>
      <c r="Z109" s="2"/>
    </row>
    <row r="110" ht="15.75" hidden="1" customHeight="1">
      <c r="A110" s="4" t="s">
        <v>676</v>
      </c>
      <c r="B110" s="4" t="s">
        <v>41</v>
      </c>
      <c r="C110" s="4" t="s">
        <v>677</v>
      </c>
      <c r="D110" s="4" t="s">
        <v>678</v>
      </c>
      <c r="E110" s="4" t="s">
        <v>507</v>
      </c>
      <c r="F110" s="9" t="s">
        <v>508</v>
      </c>
      <c r="G110" s="4" t="s">
        <v>27</v>
      </c>
      <c r="H110" s="4" t="s">
        <v>495</v>
      </c>
      <c r="I110" s="4"/>
      <c r="J110" s="10" t="s">
        <v>509</v>
      </c>
      <c r="K110" s="10" t="s">
        <v>238</v>
      </c>
      <c r="L110" s="12" t="s">
        <v>166</v>
      </c>
      <c r="M110" s="10" t="s">
        <v>497</v>
      </c>
      <c r="N110" s="4">
        <v>1.0</v>
      </c>
      <c r="O110" s="12"/>
      <c r="P110" s="12"/>
      <c r="Q110" s="2"/>
      <c r="R110" s="2"/>
      <c r="S110" s="2"/>
      <c r="T110" s="2"/>
      <c r="U110" s="2"/>
      <c r="V110" s="2"/>
      <c r="W110" s="2"/>
      <c r="X110" s="2"/>
      <c r="Y110" s="2"/>
      <c r="Z110" s="2"/>
    </row>
    <row r="111" ht="15.75" hidden="1" customHeight="1">
      <c r="A111" s="4" t="s">
        <v>679</v>
      </c>
      <c r="B111" s="4" t="s">
        <v>41</v>
      </c>
      <c r="C111" s="4" t="s">
        <v>680</v>
      </c>
      <c r="D111" s="4" t="s">
        <v>681</v>
      </c>
      <c r="E111" s="4" t="s">
        <v>513</v>
      </c>
      <c r="F111" s="9" t="s">
        <v>514</v>
      </c>
      <c r="G111" s="4" t="s">
        <v>27</v>
      </c>
      <c r="H111" s="4" t="s">
        <v>495</v>
      </c>
      <c r="I111" s="4"/>
      <c r="J111" s="10" t="s">
        <v>515</v>
      </c>
      <c r="K111" s="10" t="s">
        <v>238</v>
      </c>
      <c r="L111" s="12" t="s">
        <v>166</v>
      </c>
      <c r="M111" s="10" t="s">
        <v>682</v>
      </c>
      <c r="N111" s="4">
        <v>1.0</v>
      </c>
      <c r="O111" s="12"/>
      <c r="P111" s="12"/>
      <c r="Q111" s="2"/>
      <c r="R111" s="2"/>
      <c r="S111" s="2"/>
      <c r="T111" s="2"/>
      <c r="U111" s="2"/>
      <c r="V111" s="2"/>
      <c r="W111" s="2"/>
      <c r="X111" s="2"/>
      <c r="Y111" s="2"/>
      <c r="Z111" s="2"/>
    </row>
    <row r="112" ht="15.75" hidden="1" customHeight="1">
      <c r="A112" s="4" t="s">
        <v>683</v>
      </c>
      <c r="B112" s="4" t="s">
        <v>41</v>
      </c>
      <c r="C112" s="4" t="s">
        <v>684</v>
      </c>
      <c r="D112" s="4" t="s">
        <v>685</v>
      </c>
      <c r="E112" s="4" t="s">
        <v>520</v>
      </c>
      <c r="F112" s="9" t="s">
        <v>521</v>
      </c>
      <c r="G112" s="4" t="s">
        <v>27</v>
      </c>
      <c r="H112" s="4" t="s">
        <v>495</v>
      </c>
      <c r="I112" s="4"/>
      <c r="J112" s="10" t="s">
        <v>522</v>
      </c>
      <c r="K112" s="10" t="s">
        <v>238</v>
      </c>
      <c r="L112" s="12" t="s">
        <v>166</v>
      </c>
      <c r="M112" s="10" t="s">
        <v>497</v>
      </c>
      <c r="N112" s="4">
        <v>1.0</v>
      </c>
      <c r="O112" s="12"/>
      <c r="P112" s="12"/>
      <c r="Q112" s="2"/>
      <c r="R112" s="2"/>
      <c r="S112" s="2"/>
      <c r="T112" s="2"/>
      <c r="U112" s="2"/>
      <c r="V112" s="2"/>
      <c r="W112" s="2"/>
      <c r="X112" s="2"/>
      <c r="Y112" s="2"/>
      <c r="Z112" s="2"/>
    </row>
    <row r="113" ht="15.75" hidden="1" customHeight="1">
      <c r="A113" s="4" t="s">
        <v>686</v>
      </c>
      <c r="B113" s="4" t="s">
        <v>41</v>
      </c>
      <c r="C113" s="4" t="s">
        <v>687</v>
      </c>
      <c r="D113" s="4" t="s">
        <v>688</v>
      </c>
      <c r="E113" s="4" t="s">
        <v>526</v>
      </c>
      <c r="F113" s="9" t="s">
        <v>527</v>
      </c>
      <c r="G113" s="4" t="s">
        <v>27</v>
      </c>
      <c r="H113" s="4" t="s">
        <v>495</v>
      </c>
      <c r="I113" s="4"/>
      <c r="J113" s="10" t="s">
        <v>528</v>
      </c>
      <c r="K113" s="10" t="s">
        <v>238</v>
      </c>
      <c r="L113" s="12" t="s">
        <v>166</v>
      </c>
      <c r="M113" s="10" t="s">
        <v>689</v>
      </c>
      <c r="N113" s="4">
        <v>1.0</v>
      </c>
      <c r="O113" s="12"/>
      <c r="P113" s="12"/>
      <c r="Q113" s="2"/>
      <c r="R113" s="2"/>
      <c r="S113" s="2"/>
      <c r="T113" s="2"/>
      <c r="U113" s="2"/>
      <c r="V113" s="2"/>
      <c r="W113" s="2"/>
      <c r="X113" s="2"/>
      <c r="Y113" s="2"/>
      <c r="Z113" s="2"/>
    </row>
    <row r="114" ht="15.75" hidden="1" customHeight="1">
      <c r="A114" s="4" t="s">
        <v>690</v>
      </c>
      <c r="B114" s="4" t="s">
        <v>41</v>
      </c>
      <c r="C114" s="4" t="s">
        <v>691</v>
      </c>
      <c r="D114" s="4" t="s">
        <v>692</v>
      </c>
      <c r="E114" s="4" t="s">
        <v>533</v>
      </c>
      <c r="F114" s="9" t="s">
        <v>693</v>
      </c>
      <c r="G114" s="4" t="s">
        <v>27</v>
      </c>
      <c r="H114" s="4" t="s">
        <v>495</v>
      </c>
      <c r="I114" s="4"/>
      <c r="J114" s="10" t="s">
        <v>535</v>
      </c>
      <c r="K114" s="10" t="s">
        <v>238</v>
      </c>
      <c r="L114" s="12" t="s">
        <v>166</v>
      </c>
      <c r="M114" s="10" t="s">
        <v>694</v>
      </c>
      <c r="N114" s="4">
        <v>1.0</v>
      </c>
      <c r="O114" s="12"/>
      <c r="P114" s="12"/>
      <c r="Q114" s="2"/>
      <c r="R114" s="2"/>
      <c r="S114" s="2"/>
      <c r="T114" s="2"/>
      <c r="U114" s="2"/>
      <c r="V114" s="2"/>
      <c r="W114" s="2"/>
      <c r="X114" s="2"/>
      <c r="Y114" s="2"/>
      <c r="Z114" s="2"/>
    </row>
    <row r="115" ht="15.75" hidden="1" customHeight="1">
      <c r="A115" s="4" t="s">
        <v>695</v>
      </c>
      <c r="B115" s="4" t="s">
        <v>41</v>
      </c>
      <c r="C115" s="4" t="s">
        <v>696</v>
      </c>
      <c r="D115" s="4" t="s">
        <v>697</v>
      </c>
      <c r="E115" s="4" t="s">
        <v>698</v>
      </c>
      <c r="F115" s="9" t="s">
        <v>699</v>
      </c>
      <c r="G115" s="4" t="s">
        <v>29</v>
      </c>
      <c r="H115" s="4" t="s">
        <v>72</v>
      </c>
      <c r="I115" s="4" t="s">
        <v>138</v>
      </c>
      <c r="J115" s="10"/>
      <c r="K115" s="11" t="s">
        <v>64</v>
      </c>
      <c r="L115" s="13" t="s">
        <v>65</v>
      </c>
      <c r="M115" s="13" t="s">
        <v>700</v>
      </c>
      <c r="N115" s="4">
        <v>1.0</v>
      </c>
      <c r="O115" s="12"/>
      <c r="P115" s="12"/>
      <c r="Q115" s="2"/>
      <c r="R115" s="2"/>
      <c r="S115" s="2"/>
      <c r="T115" s="2"/>
      <c r="U115" s="2"/>
      <c r="V115" s="2"/>
      <c r="W115" s="2"/>
      <c r="X115" s="2"/>
      <c r="Y115" s="2"/>
      <c r="Z115" s="2"/>
    </row>
    <row r="116" ht="15.75" hidden="1" customHeight="1">
      <c r="A116" s="4" t="s">
        <v>701</v>
      </c>
      <c r="B116" s="4" t="s">
        <v>41</v>
      </c>
      <c r="C116" s="4" t="s">
        <v>702</v>
      </c>
      <c r="D116" s="4" t="s">
        <v>703</v>
      </c>
      <c r="E116" s="4" t="s">
        <v>149</v>
      </c>
      <c r="F116" s="9" t="s">
        <v>223</v>
      </c>
      <c r="G116" s="4" t="s">
        <v>28</v>
      </c>
      <c r="H116" s="4" t="s">
        <v>63</v>
      </c>
      <c r="I116" s="4"/>
      <c r="J116" s="10"/>
      <c r="K116" s="11" t="s">
        <v>64</v>
      </c>
      <c r="L116" s="13" t="s">
        <v>65</v>
      </c>
      <c r="M116" s="13" t="s">
        <v>151</v>
      </c>
      <c r="N116" s="4">
        <v>0.0</v>
      </c>
      <c r="O116" s="12"/>
      <c r="P116" s="12"/>
      <c r="Q116" s="2"/>
      <c r="R116" s="2"/>
      <c r="S116" s="2"/>
      <c r="T116" s="2"/>
      <c r="U116" s="2"/>
      <c r="V116" s="2"/>
      <c r="W116" s="2"/>
      <c r="X116" s="2"/>
      <c r="Y116" s="2"/>
      <c r="Z116" s="2"/>
    </row>
    <row r="117" ht="15.75" customHeight="1">
      <c r="A117" s="4" t="s">
        <v>704</v>
      </c>
      <c r="B117" s="4" t="s">
        <v>41</v>
      </c>
      <c r="C117" s="4" t="s">
        <v>705</v>
      </c>
      <c r="D117" s="4" t="s">
        <v>706</v>
      </c>
      <c r="E117" s="4" t="s">
        <v>707</v>
      </c>
      <c r="F117" s="9" t="s">
        <v>708</v>
      </c>
      <c r="G117" s="4" t="s">
        <v>27</v>
      </c>
      <c r="H117" s="4" t="s">
        <v>81</v>
      </c>
      <c r="I117" s="4"/>
      <c r="J117" s="10" t="s">
        <v>709</v>
      </c>
      <c r="K117" s="10" t="s">
        <v>74</v>
      </c>
      <c r="L117" s="12" t="s">
        <v>166</v>
      </c>
      <c r="M117" s="10" t="s">
        <v>552</v>
      </c>
      <c r="N117" s="4">
        <v>1.0</v>
      </c>
      <c r="O117" s="12"/>
      <c r="P117" s="12"/>
      <c r="Q117" s="2"/>
      <c r="R117" s="2"/>
      <c r="S117" s="2"/>
      <c r="T117" s="2"/>
      <c r="U117" s="2"/>
      <c r="V117" s="2"/>
      <c r="W117" s="2"/>
      <c r="X117" s="2"/>
      <c r="Y117" s="2"/>
      <c r="Z117" s="2"/>
    </row>
    <row r="118" ht="15.75" hidden="1" customHeight="1">
      <c r="A118" s="4" t="s">
        <v>710</v>
      </c>
      <c r="B118" s="4" t="s">
        <v>41</v>
      </c>
      <c r="C118" s="4" t="s">
        <v>711</v>
      </c>
      <c r="D118" s="4" t="s">
        <v>712</v>
      </c>
      <c r="E118" s="4" t="s">
        <v>556</v>
      </c>
      <c r="F118" s="9" t="s">
        <v>713</v>
      </c>
      <c r="G118" s="4" t="s">
        <v>29</v>
      </c>
      <c r="H118" s="4" t="s">
        <v>72</v>
      </c>
      <c r="I118" s="4" t="s">
        <v>138</v>
      </c>
      <c r="J118" s="10"/>
      <c r="K118" s="11" t="s">
        <v>64</v>
      </c>
      <c r="L118" s="13" t="s">
        <v>65</v>
      </c>
      <c r="M118" s="13" t="s">
        <v>558</v>
      </c>
      <c r="N118" s="4">
        <v>1.0</v>
      </c>
      <c r="O118" s="12"/>
      <c r="P118" s="12"/>
      <c r="Q118" s="2"/>
      <c r="R118" s="2"/>
      <c r="S118" s="2"/>
      <c r="T118" s="2"/>
      <c r="U118" s="2"/>
      <c r="V118" s="2"/>
      <c r="W118" s="2"/>
      <c r="X118" s="2"/>
      <c r="Y118" s="2"/>
      <c r="Z118" s="2"/>
    </row>
    <row r="119" ht="15.75" hidden="1" customHeight="1">
      <c r="A119" s="4" t="s">
        <v>714</v>
      </c>
      <c r="B119" s="4" t="s">
        <v>41</v>
      </c>
      <c r="C119" s="4" t="s">
        <v>715</v>
      </c>
      <c r="D119" s="4" t="s">
        <v>716</v>
      </c>
      <c r="E119" s="4" t="s">
        <v>149</v>
      </c>
      <c r="F119" s="9" t="s">
        <v>223</v>
      </c>
      <c r="G119" s="4" t="s">
        <v>28</v>
      </c>
      <c r="H119" s="4" t="s">
        <v>63</v>
      </c>
      <c r="I119" s="4"/>
      <c r="J119" s="10"/>
      <c r="K119" s="11" t="s">
        <v>64</v>
      </c>
      <c r="L119" s="13" t="s">
        <v>65</v>
      </c>
      <c r="M119" s="13" t="s">
        <v>151</v>
      </c>
      <c r="N119" s="4">
        <v>0.0</v>
      </c>
      <c r="O119" s="12"/>
      <c r="P119" s="12"/>
      <c r="Q119" s="2"/>
      <c r="R119" s="2"/>
      <c r="S119" s="2"/>
      <c r="T119" s="2"/>
      <c r="U119" s="2"/>
      <c r="V119" s="2"/>
      <c r="W119" s="2"/>
      <c r="X119" s="2"/>
      <c r="Y119" s="2"/>
      <c r="Z119" s="2"/>
    </row>
    <row r="120" ht="15.75" customHeight="1">
      <c r="A120" s="4" t="s">
        <v>717</v>
      </c>
      <c r="B120" s="4" t="s">
        <v>41</v>
      </c>
      <c r="C120" s="4" t="s">
        <v>718</v>
      </c>
      <c r="D120" s="4" t="s">
        <v>719</v>
      </c>
      <c r="E120" s="4" t="s">
        <v>565</v>
      </c>
      <c r="F120" s="9" t="s">
        <v>720</v>
      </c>
      <c r="G120" s="4" t="s">
        <v>27</v>
      </c>
      <c r="H120" s="4" t="s">
        <v>81</v>
      </c>
      <c r="I120" s="4" t="s">
        <v>97</v>
      </c>
      <c r="J120" s="10" t="s">
        <v>721</v>
      </c>
      <c r="K120" s="10" t="s">
        <v>74</v>
      </c>
      <c r="L120" s="12" t="s">
        <v>166</v>
      </c>
      <c r="M120" s="10" t="s">
        <v>722</v>
      </c>
      <c r="N120" s="4">
        <v>4.0</v>
      </c>
      <c r="O120" s="12"/>
      <c r="P120" s="12"/>
      <c r="Q120" s="2"/>
      <c r="R120" s="2"/>
      <c r="S120" s="2"/>
      <c r="T120" s="2"/>
      <c r="U120" s="2"/>
      <c r="V120" s="2"/>
      <c r="W120" s="2"/>
      <c r="X120" s="2"/>
      <c r="Y120" s="2"/>
      <c r="Z120" s="2"/>
    </row>
    <row r="121" ht="15.75" hidden="1" customHeight="1">
      <c r="A121" s="4" t="s">
        <v>723</v>
      </c>
      <c r="B121" s="4" t="s">
        <v>41</v>
      </c>
      <c r="C121" s="4" t="s">
        <v>570</v>
      </c>
      <c r="D121" s="4" t="s">
        <v>724</v>
      </c>
      <c r="E121" s="4" t="s">
        <v>572</v>
      </c>
      <c r="F121" s="9" t="s">
        <v>725</v>
      </c>
      <c r="G121" s="4" t="s">
        <v>29</v>
      </c>
      <c r="H121" s="4" t="s">
        <v>72</v>
      </c>
      <c r="I121" s="4"/>
      <c r="J121" s="10"/>
      <c r="K121" s="11" t="s">
        <v>64</v>
      </c>
      <c r="L121" s="13" t="s">
        <v>65</v>
      </c>
      <c r="M121" s="13" t="s">
        <v>726</v>
      </c>
      <c r="N121" s="4">
        <v>1.0</v>
      </c>
      <c r="O121" s="12"/>
      <c r="P121" s="12"/>
      <c r="Q121" s="2"/>
      <c r="R121" s="2"/>
      <c r="S121" s="2"/>
      <c r="T121" s="2"/>
      <c r="U121" s="2"/>
      <c r="V121" s="2"/>
      <c r="W121" s="2"/>
      <c r="X121" s="2"/>
      <c r="Y121" s="2"/>
      <c r="Z121" s="2"/>
    </row>
    <row r="122" ht="15.75" hidden="1" customHeight="1">
      <c r="A122" s="4" t="s">
        <v>727</v>
      </c>
      <c r="B122" s="4" t="s">
        <v>41</v>
      </c>
      <c r="C122" s="4" t="s">
        <v>728</v>
      </c>
      <c r="D122" s="4" t="s">
        <v>729</v>
      </c>
      <c r="E122" s="4" t="s">
        <v>149</v>
      </c>
      <c r="F122" s="9" t="s">
        <v>223</v>
      </c>
      <c r="G122" s="4" t="s">
        <v>28</v>
      </c>
      <c r="H122" s="4" t="s">
        <v>63</v>
      </c>
      <c r="I122" s="4"/>
      <c r="J122" s="10"/>
      <c r="K122" s="11" t="s">
        <v>64</v>
      </c>
      <c r="L122" s="13" t="s">
        <v>65</v>
      </c>
      <c r="M122" s="13" t="s">
        <v>151</v>
      </c>
      <c r="N122" s="4">
        <v>0.0</v>
      </c>
      <c r="O122" s="12"/>
      <c r="P122" s="12"/>
      <c r="Q122" s="2"/>
      <c r="R122" s="2"/>
      <c r="S122" s="2"/>
      <c r="T122" s="2"/>
      <c r="U122" s="2"/>
      <c r="V122" s="2"/>
      <c r="W122" s="2"/>
      <c r="X122" s="2"/>
      <c r="Y122" s="2"/>
      <c r="Z122" s="2"/>
    </row>
    <row r="123" ht="15.75" customHeight="1">
      <c r="A123" s="4" t="s">
        <v>730</v>
      </c>
      <c r="B123" s="4" t="s">
        <v>41</v>
      </c>
      <c r="C123" s="4" t="s">
        <v>731</v>
      </c>
      <c r="D123" s="4" t="s">
        <v>732</v>
      </c>
      <c r="E123" s="4" t="s">
        <v>733</v>
      </c>
      <c r="F123" s="9" t="s">
        <v>734</v>
      </c>
      <c r="G123" s="4" t="s">
        <v>27</v>
      </c>
      <c r="H123" s="4" t="s">
        <v>590</v>
      </c>
      <c r="I123" s="4" t="s">
        <v>97</v>
      </c>
      <c r="J123" s="10" t="s">
        <v>735</v>
      </c>
      <c r="K123" s="10" t="s">
        <v>74</v>
      </c>
      <c r="L123" s="12" t="s">
        <v>166</v>
      </c>
      <c r="M123" s="10" t="s">
        <v>736</v>
      </c>
      <c r="N123" s="4">
        <v>8.0</v>
      </c>
      <c r="O123" s="12"/>
      <c r="P123" s="12"/>
      <c r="Q123" s="2"/>
      <c r="R123" s="2"/>
      <c r="S123" s="2"/>
      <c r="T123" s="2"/>
      <c r="U123" s="2"/>
      <c r="V123" s="2"/>
      <c r="W123" s="2"/>
      <c r="X123" s="2"/>
      <c r="Y123" s="2"/>
      <c r="Z123" s="2"/>
    </row>
    <row r="124" ht="15.75" hidden="1" customHeight="1">
      <c r="A124" s="4" t="s">
        <v>737</v>
      </c>
      <c r="B124" s="4" t="s">
        <v>41</v>
      </c>
      <c r="C124" s="4" t="s">
        <v>738</v>
      </c>
      <c r="D124" s="4" t="s">
        <v>739</v>
      </c>
      <c r="E124" s="4" t="s">
        <v>740</v>
      </c>
      <c r="F124" s="9" t="s">
        <v>741</v>
      </c>
      <c r="G124" s="4" t="s">
        <v>29</v>
      </c>
      <c r="H124" s="4" t="s">
        <v>72</v>
      </c>
      <c r="I124" s="4"/>
      <c r="J124" s="10"/>
      <c r="K124" s="11" t="s">
        <v>64</v>
      </c>
      <c r="L124" s="13" t="s">
        <v>65</v>
      </c>
      <c r="M124" s="13" t="s">
        <v>598</v>
      </c>
      <c r="N124" s="4">
        <v>2.0</v>
      </c>
      <c r="O124" s="12"/>
      <c r="P124" s="12"/>
      <c r="Q124" s="2"/>
      <c r="R124" s="2"/>
      <c r="S124" s="2"/>
      <c r="T124" s="2"/>
      <c r="U124" s="2"/>
      <c r="V124" s="2"/>
      <c r="W124" s="2"/>
      <c r="X124" s="2"/>
      <c r="Y124" s="2"/>
      <c r="Z124" s="2"/>
    </row>
    <row r="125" ht="15.75" hidden="1" customHeight="1">
      <c r="A125" s="4" t="s">
        <v>742</v>
      </c>
      <c r="B125" s="4" t="s">
        <v>41</v>
      </c>
      <c r="C125" s="4" t="s">
        <v>743</v>
      </c>
      <c r="D125" s="4" t="s">
        <v>744</v>
      </c>
      <c r="E125" s="4" t="s">
        <v>149</v>
      </c>
      <c r="F125" s="9" t="s">
        <v>150</v>
      </c>
      <c r="G125" s="4" t="s">
        <v>28</v>
      </c>
      <c r="H125" s="4" t="s">
        <v>63</v>
      </c>
      <c r="I125" s="4"/>
      <c r="J125" s="10"/>
      <c r="K125" s="11" t="s">
        <v>64</v>
      </c>
      <c r="L125" s="13" t="s">
        <v>65</v>
      </c>
      <c r="M125" s="13" t="s">
        <v>151</v>
      </c>
      <c r="N125" s="4">
        <v>0.0</v>
      </c>
      <c r="O125" s="12"/>
      <c r="P125" s="12"/>
      <c r="Q125" s="2"/>
      <c r="R125" s="2"/>
      <c r="S125" s="2"/>
      <c r="T125" s="2"/>
      <c r="U125" s="2"/>
      <c r="V125" s="2"/>
      <c r="W125" s="2"/>
      <c r="X125" s="2"/>
      <c r="Y125" s="2"/>
      <c r="Z125" s="2"/>
    </row>
    <row r="126" ht="15.75" hidden="1" customHeight="1">
      <c r="A126" s="4" t="s">
        <v>745</v>
      </c>
      <c r="B126" s="4" t="s">
        <v>41</v>
      </c>
      <c r="C126" s="4" t="s">
        <v>746</v>
      </c>
      <c r="D126" s="4" t="s">
        <v>747</v>
      </c>
      <c r="E126" s="4" t="s">
        <v>605</v>
      </c>
      <c r="F126" s="9" t="s">
        <v>748</v>
      </c>
      <c r="G126" s="4" t="s">
        <v>29</v>
      </c>
      <c r="H126" s="4" t="s">
        <v>72</v>
      </c>
      <c r="I126" s="4"/>
      <c r="J126" s="10"/>
      <c r="K126" s="11" t="s">
        <v>64</v>
      </c>
      <c r="L126" s="13" t="s">
        <v>65</v>
      </c>
      <c r="M126" s="13" t="s">
        <v>607</v>
      </c>
      <c r="N126" s="4">
        <v>2.0</v>
      </c>
      <c r="O126" s="12"/>
      <c r="P126" s="12"/>
      <c r="Q126" s="2"/>
      <c r="R126" s="2"/>
      <c r="S126" s="2"/>
      <c r="T126" s="2"/>
      <c r="U126" s="2"/>
      <c r="V126" s="2"/>
      <c r="W126" s="2"/>
      <c r="X126" s="2"/>
      <c r="Y126" s="2"/>
      <c r="Z126" s="2"/>
    </row>
    <row r="127" ht="15.75" hidden="1" customHeight="1">
      <c r="A127" s="4" t="s">
        <v>749</v>
      </c>
      <c r="B127" s="4" t="s">
        <v>41</v>
      </c>
      <c r="C127" s="4" t="s">
        <v>750</v>
      </c>
      <c r="D127" s="4" t="s">
        <v>751</v>
      </c>
      <c r="E127" s="4" t="s">
        <v>149</v>
      </c>
      <c r="F127" s="9" t="s">
        <v>150</v>
      </c>
      <c r="G127" s="4" t="s">
        <v>28</v>
      </c>
      <c r="H127" s="4" t="s">
        <v>63</v>
      </c>
      <c r="I127" s="4"/>
      <c r="J127" s="10"/>
      <c r="K127" s="11" t="s">
        <v>64</v>
      </c>
      <c r="L127" s="13" t="s">
        <v>65</v>
      </c>
      <c r="M127" s="13" t="s">
        <v>151</v>
      </c>
      <c r="N127" s="4">
        <v>0.0</v>
      </c>
      <c r="O127" s="12"/>
      <c r="P127" s="12"/>
      <c r="Q127" s="2"/>
      <c r="R127" s="2"/>
      <c r="S127" s="2"/>
      <c r="T127" s="2"/>
      <c r="U127" s="2"/>
      <c r="V127" s="2"/>
      <c r="W127" s="2"/>
      <c r="X127" s="2"/>
      <c r="Y127" s="2"/>
      <c r="Z127" s="2"/>
    </row>
    <row r="128" ht="15.75" hidden="1" customHeight="1">
      <c r="A128" s="4" t="s">
        <v>752</v>
      </c>
      <c r="B128" s="4" t="s">
        <v>41</v>
      </c>
      <c r="C128" s="4" t="s">
        <v>753</v>
      </c>
      <c r="D128" s="4" t="s">
        <v>754</v>
      </c>
      <c r="E128" s="4" t="s">
        <v>613</v>
      </c>
      <c r="F128" s="9" t="s">
        <v>755</v>
      </c>
      <c r="G128" s="4" t="s">
        <v>29</v>
      </c>
      <c r="H128" s="4" t="s">
        <v>72</v>
      </c>
      <c r="I128" s="4"/>
      <c r="J128" s="10"/>
      <c r="K128" s="11" t="s">
        <v>64</v>
      </c>
      <c r="L128" s="13" t="s">
        <v>65</v>
      </c>
      <c r="M128" s="13" t="s">
        <v>615</v>
      </c>
      <c r="N128" s="4">
        <v>2.0</v>
      </c>
      <c r="O128" s="12"/>
      <c r="P128" s="12"/>
      <c r="Q128" s="2"/>
      <c r="R128" s="2"/>
      <c r="S128" s="2"/>
      <c r="T128" s="2"/>
      <c r="U128" s="2"/>
      <c r="V128" s="2"/>
      <c r="W128" s="2"/>
      <c r="X128" s="2"/>
      <c r="Y128" s="2"/>
      <c r="Z128" s="2"/>
    </row>
    <row r="129" ht="15.75" hidden="1" customHeight="1">
      <c r="A129" s="4" t="s">
        <v>756</v>
      </c>
      <c r="B129" s="4" t="s">
        <v>41</v>
      </c>
      <c r="C129" s="4" t="s">
        <v>757</v>
      </c>
      <c r="D129" s="4" t="s">
        <v>758</v>
      </c>
      <c r="E129" s="4" t="s">
        <v>149</v>
      </c>
      <c r="F129" s="9" t="s">
        <v>150</v>
      </c>
      <c r="G129" s="4" t="s">
        <v>28</v>
      </c>
      <c r="H129" s="4" t="s">
        <v>63</v>
      </c>
      <c r="I129" s="4"/>
      <c r="J129" s="10"/>
      <c r="K129" s="11" t="s">
        <v>64</v>
      </c>
      <c r="L129" s="13" t="s">
        <v>65</v>
      </c>
      <c r="M129" s="13" t="s">
        <v>151</v>
      </c>
      <c r="N129" s="4">
        <v>0.0</v>
      </c>
      <c r="O129" s="12"/>
      <c r="P129" s="12"/>
      <c r="Q129" s="2"/>
      <c r="R129" s="2"/>
      <c r="S129" s="2"/>
      <c r="T129" s="2"/>
      <c r="U129" s="2"/>
      <c r="V129" s="2"/>
      <c r="W129" s="2"/>
      <c r="X129" s="2"/>
      <c r="Y129" s="2"/>
      <c r="Z129" s="2"/>
    </row>
    <row r="130" ht="15.75" hidden="1" customHeight="1">
      <c r="A130" s="4" t="s">
        <v>759</v>
      </c>
      <c r="B130" s="4" t="s">
        <v>41</v>
      </c>
      <c r="C130" s="4" t="s">
        <v>760</v>
      </c>
      <c r="D130" s="4" t="s">
        <v>761</v>
      </c>
      <c r="E130" s="4" t="s">
        <v>622</v>
      </c>
      <c r="F130" s="9" t="s">
        <v>623</v>
      </c>
      <c r="G130" s="4" t="s">
        <v>29</v>
      </c>
      <c r="H130" s="4" t="s">
        <v>72</v>
      </c>
      <c r="I130" s="4"/>
      <c r="J130" s="10"/>
      <c r="K130" s="11" t="s">
        <v>64</v>
      </c>
      <c r="L130" s="13" t="s">
        <v>65</v>
      </c>
      <c r="M130" s="13" t="s">
        <v>624</v>
      </c>
      <c r="N130" s="4">
        <v>1.0</v>
      </c>
      <c r="O130" s="12"/>
      <c r="P130" s="12"/>
      <c r="Q130" s="2"/>
      <c r="R130" s="2"/>
      <c r="S130" s="2"/>
      <c r="T130" s="2"/>
      <c r="U130" s="2"/>
      <c r="V130" s="2"/>
      <c r="W130" s="2"/>
      <c r="X130" s="2"/>
      <c r="Y130" s="2"/>
      <c r="Z130" s="2"/>
    </row>
    <row r="131" ht="15.75" hidden="1" customHeight="1">
      <c r="A131" s="4" t="s">
        <v>762</v>
      </c>
      <c r="B131" s="4" t="s">
        <v>41</v>
      </c>
      <c r="C131" s="4" t="s">
        <v>763</v>
      </c>
      <c r="D131" s="4" t="s">
        <v>764</v>
      </c>
      <c r="E131" s="4" t="s">
        <v>149</v>
      </c>
      <c r="F131" s="9" t="s">
        <v>223</v>
      </c>
      <c r="G131" s="4" t="s">
        <v>28</v>
      </c>
      <c r="H131" s="4" t="s">
        <v>63</v>
      </c>
      <c r="I131" s="4"/>
      <c r="J131" s="10"/>
      <c r="K131" s="11" t="s">
        <v>64</v>
      </c>
      <c r="L131" s="13" t="s">
        <v>65</v>
      </c>
      <c r="M131" s="13" t="s">
        <v>151</v>
      </c>
      <c r="N131" s="4">
        <v>0.0</v>
      </c>
      <c r="O131" s="12"/>
      <c r="P131" s="12"/>
      <c r="Q131" s="2"/>
      <c r="R131" s="2"/>
      <c r="S131" s="2"/>
      <c r="T131" s="2"/>
      <c r="U131" s="2"/>
      <c r="V131" s="2"/>
      <c r="W131" s="2"/>
      <c r="X131" s="2"/>
      <c r="Y131" s="2"/>
      <c r="Z131" s="2"/>
    </row>
    <row r="132" ht="15.75" hidden="1" customHeight="1">
      <c r="A132" s="4" t="s">
        <v>765</v>
      </c>
      <c r="B132" s="4" t="s">
        <v>41</v>
      </c>
      <c r="C132" s="4" t="s">
        <v>766</v>
      </c>
      <c r="D132" s="4" t="s">
        <v>767</v>
      </c>
      <c r="E132" s="4" t="s">
        <v>768</v>
      </c>
      <c r="F132" s="9" t="s">
        <v>769</v>
      </c>
      <c r="G132" s="4" t="s">
        <v>28</v>
      </c>
      <c r="H132" s="4" t="s">
        <v>63</v>
      </c>
      <c r="I132" s="4" t="s">
        <v>138</v>
      </c>
      <c r="J132" s="10"/>
      <c r="K132" s="11" t="s">
        <v>64</v>
      </c>
      <c r="L132" s="13" t="s">
        <v>65</v>
      </c>
      <c r="M132" s="13" t="s">
        <v>770</v>
      </c>
      <c r="N132" s="4">
        <v>0.0</v>
      </c>
      <c r="O132" s="12"/>
      <c r="P132" s="12"/>
      <c r="Q132" s="2"/>
      <c r="R132" s="2"/>
      <c r="S132" s="2"/>
      <c r="T132" s="2"/>
      <c r="U132" s="2"/>
      <c r="V132" s="2"/>
      <c r="W132" s="2"/>
      <c r="X132" s="2"/>
      <c r="Y132" s="2"/>
      <c r="Z132" s="2"/>
    </row>
    <row r="133" ht="15.75" customHeight="1">
      <c r="A133" s="4" t="s">
        <v>771</v>
      </c>
      <c r="B133" s="4" t="s">
        <v>41</v>
      </c>
      <c r="C133" s="4" t="s">
        <v>772</v>
      </c>
      <c r="D133" s="4" t="s">
        <v>773</v>
      </c>
      <c r="E133" s="4" t="s">
        <v>774</v>
      </c>
      <c r="F133" s="9" t="s">
        <v>775</v>
      </c>
      <c r="G133" s="4" t="s">
        <v>27</v>
      </c>
      <c r="H133" s="4" t="s">
        <v>81</v>
      </c>
      <c r="I133" s="4" t="s">
        <v>97</v>
      </c>
      <c r="J133" s="10" t="s">
        <v>776</v>
      </c>
      <c r="K133" s="10" t="s">
        <v>74</v>
      </c>
      <c r="L133" s="12" t="s">
        <v>166</v>
      </c>
      <c r="M133" s="10" t="s">
        <v>777</v>
      </c>
      <c r="N133" s="4">
        <v>2.0</v>
      </c>
      <c r="O133" s="12"/>
      <c r="P133" s="12"/>
      <c r="Q133" s="2"/>
      <c r="R133" s="2"/>
      <c r="S133" s="2"/>
      <c r="T133" s="2"/>
      <c r="U133" s="2"/>
      <c r="V133" s="2"/>
      <c r="W133" s="2"/>
      <c r="X133" s="2"/>
      <c r="Y133" s="2"/>
      <c r="Z133" s="2"/>
    </row>
    <row r="134" ht="15.75" customHeight="1">
      <c r="A134" s="4" t="s">
        <v>778</v>
      </c>
      <c r="B134" s="4" t="s">
        <v>41</v>
      </c>
      <c r="C134" s="4" t="s">
        <v>779</v>
      </c>
      <c r="D134" s="4" t="s">
        <v>780</v>
      </c>
      <c r="E134" s="4" t="s">
        <v>781</v>
      </c>
      <c r="F134" s="9" t="s">
        <v>782</v>
      </c>
      <c r="G134" s="4" t="s">
        <v>27</v>
      </c>
      <c r="H134" s="4" t="s">
        <v>81</v>
      </c>
      <c r="I134" s="4" t="s">
        <v>97</v>
      </c>
      <c r="J134" s="10" t="s">
        <v>783</v>
      </c>
      <c r="K134" s="10" t="s">
        <v>74</v>
      </c>
      <c r="L134" s="12" t="s">
        <v>166</v>
      </c>
      <c r="M134" s="10" t="s">
        <v>784</v>
      </c>
      <c r="N134" s="4">
        <v>1.0</v>
      </c>
      <c r="O134" s="12"/>
      <c r="P134" s="12"/>
      <c r="Q134" s="2"/>
      <c r="R134" s="2"/>
      <c r="S134" s="2"/>
      <c r="T134" s="2"/>
      <c r="U134" s="2"/>
      <c r="V134" s="2"/>
      <c r="W134" s="2"/>
      <c r="X134" s="2"/>
      <c r="Y134" s="2"/>
      <c r="Z134" s="2"/>
    </row>
    <row r="135" ht="15.75" customHeight="1">
      <c r="A135" s="4" t="s">
        <v>785</v>
      </c>
      <c r="B135" s="4" t="s">
        <v>41</v>
      </c>
      <c r="C135" s="4" t="s">
        <v>786</v>
      </c>
      <c r="D135" s="4" t="s">
        <v>787</v>
      </c>
      <c r="E135" s="4" t="s">
        <v>788</v>
      </c>
      <c r="F135" s="9" t="s">
        <v>789</v>
      </c>
      <c r="G135" s="4" t="s">
        <v>27</v>
      </c>
      <c r="H135" s="4" t="s">
        <v>81</v>
      </c>
      <c r="I135" s="4" t="s">
        <v>97</v>
      </c>
      <c r="J135" s="10" t="s">
        <v>639</v>
      </c>
      <c r="K135" s="10" t="s">
        <v>74</v>
      </c>
      <c r="L135" s="12" t="s">
        <v>166</v>
      </c>
      <c r="M135" s="10" t="s">
        <v>790</v>
      </c>
      <c r="N135" s="4">
        <v>2.0</v>
      </c>
      <c r="O135" s="12"/>
      <c r="P135" s="12"/>
      <c r="Q135" s="2"/>
      <c r="R135" s="2"/>
      <c r="S135" s="2"/>
      <c r="T135" s="2"/>
      <c r="U135" s="2"/>
      <c r="V135" s="2"/>
      <c r="W135" s="2"/>
      <c r="X135" s="2"/>
      <c r="Y135" s="2"/>
      <c r="Z135" s="2"/>
    </row>
    <row r="136" ht="15.75" customHeight="1">
      <c r="A136" s="4" t="s">
        <v>791</v>
      </c>
      <c r="B136" s="4" t="s">
        <v>41</v>
      </c>
      <c r="C136" s="4" t="s">
        <v>792</v>
      </c>
      <c r="D136" s="4" t="s">
        <v>793</v>
      </c>
      <c r="E136" s="4" t="s">
        <v>794</v>
      </c>
      <c r="F136" s="9" t="s">
        <v>795</v>
      </c>
      <c r="G136" s="4" t="s">
        <v>27</v>
      </c>
      <c r="H136" s="4" t="s">
        <v>81</v>
      </c>
      <c r="I136" s="4" t="s">
        <v>97</v>
      </c>
      <c r="J136" s="10" t="s">
        <v>796</v>
      </c>
      <c r="K136" s="10" t="s">
        <v>74</v>
      </c>
      <c r="L136" s="12" t="s">
        <v>166</v>
      </c>
      <c r="M136" s="10" t="s">
        <v>797</v>
      </c>
      <c r="N136" s="4">
        <v>1.0</v>
      </c>
      <c r="O136" s="12"/>
      <c r="P136" s="12"/>
      <c r="Q136" s="2"/>
      <c r="R136" s="2"/>
      <c r="S136" s="2"/>
      <c r="T136" s="2"/>
      <c r="U136" s="2"/>
      <c r="V136" s="2"/>
      <c r="W136" s="2"/>
      <c r="X136" s="2"/>
      <c r="Y136" s="2"/>
      <c r="Z136" s="2"/>
    </row>
    <row r="137" ht="15.75" customHeight="1">
      <c r="A137" s="4" t="s">
        <v>798</v>
      </c>
      <c r="B137" s="4" t="s">
        <v>41</v>
      </c>
      <c r="C137" s="4" t="s">
        <v>799</v>
      </c>
      <c r="D137" s="4" t="s">
        <v>800</v>
      </c>
      <c r="E137" s="4" t="s">
        <v>801</v>
      </c>
      <c r="F137" s="9" t="s">
        <v>802</v>
      </c>
      <c r="G137" s="4" t="s">
        <v>27</v>
      </c>
      <c r="H137" s="4" t="s">
        <v>81</v>
      </c>
      <c r="I137" s="4" t="s">
        <v>97</v>
      </c>
      <c r="J137" s="10" t="s">
        <v>646</v>
      </c>
      <c r="K137" s="10" t="s">
        <v>74</v>
      </c>
      <c r="L137" s="12" t="s">
        <v>166</v>
      </c>
      <c r="M137" s="10" t="s">
        <v>803</v>
      </c>
      <c r="N137" s="4">
        <v>2.0</v>
      </c>
      <c r="O137" s="12"/>
      <c r="P137" s="12"/>
      <c r="Q137" s="2"/>
      <c r="R137" s="2"/>
      <c r="S137" s="2"/>
      <c r="T137" s="2"/>
      <c r="U137" s="2"/>
      <c r="V137" s="2"/>
      <c r="W137" s="2"/>
      <c r="X137" s="2"/>
      <c r="Y137" s="2"/>
      <c r="Z137" s="2"/>
    </row>
    <row r="138" ht="15.75" customHeight="1">
      <c r="A138" s="4" t="s">
        <v>804</v>
      </c>
      <c r="B138" s="4" t="s">
        <v>41</v>
      </c>
      <c r="C138" s="4" t="s">
        <v>805</v>
      </c>
      <c r="D138" s="4" t="s">
        <v>806</v>
      </c>
      <c r="E138" s="4" t="s">
        <v>807</v>
      </c>
      <c r="F138" s="9" t="s">
        <v>808</v>
      </c>
      <c r="G138" s="4" t="s">
        <v>27</v>
      </c>
      <c r="H138" s="4" t="s">
        <v>81</v>
      </c>
      <c r="I138" s="4" t="s">
        <v>97</v>
      </c>
      <c r="J138" s="10" t="s">
        <v>653</v>
      </c>
      <c r="K138" s="10" t="s">
        <v>74</v>
      </c>
      <c r="L138" s="12" t="s">
        <v>166</v>
      </c>
      <c r="M138" s="10" t="s">
        <v>809</v>
      </c>
      <c r="N138" s="4">
        <v>1.0</v>
      </c>
      <c r="O138" s="12"/>
      <c r="P138" s="12"/>
      <c r="Q138" s="2"/>
      <c r="R138" s="2"/>
      <c r="S138" s="2"/>
      <c r="T138" s="2"/>
      <c r="U138" s="2"/>
      <c r="V138" s="2"/>
      <c r="W138" s="2"/>
      <c r="X138" s="2"/>
      <c r="Y138" s="2"/>
      <c r="Z138" s="2"/>
    </row>
    <row r="139" ht="15.75" customHeight="1">
      <c r="A139" s="4" t="s">
        <v>810</v>
      </c>
      <c r="B139" s="4" t="s">
        <v>41</v>
      </c>
      <c r="C139" s="4" t="s">
        <v>811</v>
      </c>
      <c r="D139" s="4" t="s">
        <v>812</v>
      </c>
      <c r="E139" s="4" t="s">
        <v>813</v>
      </c>
      <c r="F139" s="9" t="s">
        <v>814</v>
      </c>
      <c r="G139" s="4" t="s">
        <v>27</v>
      </c>
      <c r="H139" s="4" t="s">
        <v>81</v>
      </c>
      <c r="I139" s="4"/>
      <c r="J139" s="10" t="s">
        <v>660</v>
      </c>
      <c r="K139" s="10" t="s">
        <v>74</v>
      </c>
      <c r="L139" s="12" t="s">
        <v>166</v>
      </c>
      <c r="M139" s="10" t="s">
        <v>815</v>
      </c>
      <c r="N139" s="4">
        <v>3.0</v>
      </c>
      <c r="O139" s="12"/>
      <c r="P139" s="12"/>
      <c r="Q139" s="2"/>
      <c r="R139" s="2"/>
      <c r="S139" s="2"/>
      <c r="T139" s="2"/>
      <c r="U139" s="2"/>
      <c r="V139" s="2"/>
      <c r="W139" s="2"/>
      <c r="X139" s="2"/>
      <c r="Y139" s="2"/>
      <c r="Z139" s="2"/>
    </row>
    <row r="140" ht="15.75" customHeight="1">
      <c r="A140" s="4" t="s">
        <v>816</v>
      </c>
      <c r="B140" s="4" t="s">
        <v>41</v>
      </c>
      <c r="C140" s="4" t="s">
        <v>817</v>
      </c>
      <c r="D140" s="4" t="s">
        <v>818</v>
      </c>
      <c r="E140" s="4" t="s">
        <v>819</v>
      </c>
      <c r="F140" s="9" t="s">
        <v>820</v>
      </c>
      <c r="G140" s="4" t="s">
        <v>27</v>
      </c>
      <c r="H140" s="4" t="s">
        <v>81</v>
      </c>
      <c r="I140" s="4" t="s">
        <v>97</v>
      </c>
      <c r="J140" s="10" t="s">
        <v>667</v>
      </c>
      <c r="K140" s="10" t="s">
        <v>74</v>
      </c>
      <c r="L140" s="12" t="s">
        <v>166</v>
      </c>
      <c r="M140" s="10" t="s">
        <v>821</v>
      </c>
      <c r="N140" s="4">
        <v>1.0</v>
      </c>
      <c r="O140" s="12"/>
      <c r="P140" s="12"/>
      <c r="Q140" s="2"/>
      <c r="R140" s="2"/>
      <c r="S140" s="2"/>
      <c r="T140" s="2"/>
      <c r="U140" s="2"/>
      <c r="V140" s="2"/>
      <c r="W140" s="2"/>
      <c r="X140" s="2"/>
      <c r="Y140" s="2"/>
      <c r="Z140" s="2"/>
    </row>
    <row r="141" ht="15.75" customHeight="1">
      <c r="A141" s="4" t="s">
        <v>822</v>
      </c>
      <c r="B141" s="4" t="s">
        <v>38</v>
      </c>
      <c r="C141" s="4" t="s">
        <v>823</v>
      </c>
      <c r="D141" s="4" t="s">
        <v>824</v>
      </c>
      <c r="E141" s="4" t="s">
        <v>825</v>
      </c>
      <c r="F141" s="9" t="s">
        <v>826</v>
      </c>
      <c r="G141" s="4" t="s">
        <v>827</v>
      </c>
      <c r="H141" s="4" t="s">
        <v>828</v>
      </c>
      <c r="I141" s="4"/>
      <c r="J141" s="10" t="s">
        <v>829</v>
      </c>
      <c r="K141" s="10" t="s">
        <v>74</v>
      </c>
      <c r="L141" s="12" t="s">
        <v>166</v>
      </c>
      <c r="M141" s="10" t="s">
        <v>830</v>
      </c>
      <c r="N141" s="4"/>
      <c r="O141" s="12"/>
      <c r="P141" s="12"/>
      <c r="Q141" s="2"/>
      <c r="R141" s="2"/>
      <c r="S141" s="2"/>
      <c r="T141" s="2"/>
      <c r="U141" s="2"/>
      <c r="V141" s="2"/>
      <c r="W141" s="2"/>
      <c r="X141" s="2"/>
      <c r="Y141" s="2"/>
      <c r="Z141" s="2"/>
    </row>
    <row r="142" ht="15.75" hidden="1" customHeight="1">
      <c r="A142" s="4" t="s">
        <v>831</v>
      </c>
      <c r="B142" s="4" t="s">
        <v>38</v>
      </c>
      <c r="C142" s="4" t="s">
        <v>832</v>
      </c>
      <c r="D142" s="4" t="s">
        <v>833</v>
      </c>
      <c r="E142" s="4" t="s">
        <v>834</v>
      </c>
      <c r="F142" s="9" t="s">
        <v>835</v>
      </c>
      <c r="G142" s="4" t="s">
        <v>827</v>
      </c>
      <c r="H142" s="4" t="s">
        <v>828</v>
      </c>
      <c r="I142" s="4"/>
      <c r="J142" s="11" t="s">
        <v>836</v>
      </c>
      <c r="K142" s="13" t="s">
        <v>238</v>
      </c>
      <c r="L142" s="11" t="s">
        <v>166</v>
      </c>
      <c r="M142" s="13" t="s">
        <v>837</v>
      </c>
      <c r="N142" s="4"/>
      <c r="O142" s="12"/>
      <c r="P142" s="12"/>
      <c r="Q142" s="2"/>
      <c r="R142" s="2"/>
      <c r="S142" s="2"/>
      <c r="T142" s="2"/>
      <c r="U142" s="2"/>
      <c r="V142" s="2"/>
      <c r="W142" s="2"/>
      <c r="X142" s="2"/>
      <c r="Y142" s="2"/>
      <c r="Z142" s="2"/>
    </row>
    <row r="143" ht="15.75" hidden="1" customHeight="1">
      <c r="A143" s="4" t="s">
        <v>838</v>
      </c>
      <c r="B143" s="4" t="s">
        <v>39</v>
      </c>
      <c r="C143" s="4" t="s">
        <v>839</v>
      </c>
      <c r="D143" s="4" t="s">
        <v>840</v>
      </c>
      <c r="E143" s="4" t="s">
        <v>841</v>
      </c>
      <c r="F143" s="9" t="s">
        <v>842</v>
      </c>
      <c r="G143" s="4" t="s">
        <v>827</v>
      </c>
      <c r="H143" s="4" t="s">
        <v>828</v>
      </c>
      <c r="I143" s="4"/>
      <c r="J143" s="11" t="s">
        <v>843</v>
      </c>
      <c r="K143" s="13" t="s">
        <v>238</v>
      </c>
      <c r="L143" s="11" t="s">
        <v>166</v>
      </c>
      <c r="M143" s="13" t="s">
        <v>844</v>
      </c>
      <c r="N143" s="4"/>
      <c r="O143" s="12"/>
      <c r="P143" s="12"/>
      <c r="Q143" s="2"/>
      <c r="R143" s="2"/>
      <c r="S143" s="2"/>
      <c r="T143" s="2"/>
      <c r="U143" s="2"/>
      <c r="V143" s="2"/>
      <c r="W143" s="2"/>
      <c r="X143" s="2"/>
      <c r="Y143" s="2"/>
      <c r="Z143" s="2"/>
    </row>
    <row r="144" ht="15.75" hidden="1" customHeight="1">
      <c r="A144" s="4" t="s">
        <v>845</v>
      </c>
      <c r="B144" s="4" t="s">
        <v>39</v>
      </c>
      <c r="C144" s="4" t="s">
        <v>846</v>
      </c>
      <c r="D144" s="4" t="s">
        <v>847</v>
      </c>
      <c r="E144" s="4" t="s">
        <v>848</v>
      </c>
      <c r="F144" s="9" t="s">
        <v>849</v>
      </c>
      <c r="G144" s="4" t="s">
        <v>827</v>
      </c>
      <c r="H144" s="4" t="s">
        <v>828</v>
      </c>
      <c r="I144" s="4"/>
      <c r="J144" s="11" t="s">
        <v>850</v>
      </c>
      <c r="K144" s="11" t="s">
        <v>74</v>
      </c>
      <c r="L144" s="13" t="s">
        <v>65</v>
      </c>
      <c r="M144" s="13" t="s">
        <v>851</v>
      </c>
      <c r="N144" s="4"/>
      <c r="O144" s="12"/>
      <c r="P144" s="12"/>
      <c r="Q144" s="2"/>
      <c r="R144" s="2"/>
      <c r="S144" s="2"/>
      <c r="T144" s="2"/>
      <c r="U144" s="2"/>
      <c r="V144" s="2"/>
      <c r="W144" s="2"/>
      <c r="X144" s="2"/>
      <c r="Y144" s="2"/>
      <c r="Z144" s="2"/>
    </row>
    <row r="145" ht="15.75" hidden="1" customHeight="1">
      <c r="A145" s="4" t="s">
        <v>852</v>
      </c>
      <c r="B145" s="4" t="s">
        <v>39</v>
      </c>
      <c r="C145" s="4" t="s">
        <v>853</v>
      </c>
      <c r="D145" s="4" t="s">
        <v>854</v>
      </c>
      <c r="E145" s="4" t="s">
        <v>855</v>
      </c>
      <c r="F145" s="9" t="s">
        <v>856</v>
      </c>
      <c r="G145" s="4" t="s">
        <v>827</v>
      </c>
      <c r="H145" s="4" t="s">
        <v>828</v>
      </c>
      <c r="I145" s="4"/>
      <c r="J145" s="11" t="s">
        <v>857</v>
      </c>
      <c r="K145" s="11" t="s">
        <v>74</v>
      </c>
      <c r="L145" s="13" t="s">
        <v>65</v>
      </c>
      <c r="M145" s="13" t="s">
        <v>858</v>
      </c>
      <c r="N145" s="4"/>
      <c r="O145" s="12"/>
      <c r="P145" s="1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P$145">
    <filterColumn colId="10">
      <filters>
        <filter val="regra de negócio"/>
      </filters>
    </filterColumn>
    <filterColumn colId="11">
      <filters>
        <filter val="A validar"/>
      </filters>
    </filterColumn>
  </autoFilter>
  <dataValidations>
    <dataValidation type="list" allowBlank="1" sqref="L2:L142 L144:L145">
      <formula1>"A validar,Validado"</formula1>
    </dataValidation>
    <dataValidation type="list" allowBlank="1" sqref="L143">
      <formula1>"A validar,Validado"</formula1>
    </dataValidation>
    <dataValidation type="list" allowBlank="1" sqref="P2:P145">
      <formula1>"Sim,Não"</formula1>
    </dataValidation>
    <dataValidation type="list" allowBlank="1" sqref="K2:K145">
      <formula1>"regra de negócio,infraestrutura (excluída),a discutir"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0"/>
    <col customWidth="1" min="2" max="2" width="15.14"/>
    <col customWidth="1" min="3" max="4" width="11.0"/>
    <col customWidth="1" min="5" max="5" width="60.0"/>
    <col customWidth="1" min="6" max="6" width="72.0"/>
    <col customWidth="1" min="7" max="7" width="30.0"/>
    <col customWidth="1" min="8" max="8" width="24.0"/>
    <col customWidth="1" min="9" max="9" width="16.0"/>
  </cols>
  <sheetData>
    <row r="1" ht="30.0" customHeight="1">
      <c r="A1" s="5" t="s">
        <v>44</v>
      </c>
      <c r="B1" s="5" t="s">
        <v>23</v>
      </c>
      <c r="C1" s="5" t="s">
        <v>45</v>
      </c>
      <c r="D1" s="5" t="s">
        <v>46</v>
      </c>
      <c r="E1" s="5" t="s">
        <v>47</v>
      </c>
      <c r="F1" s="5" t="s">
        <v>48</v>
      </c>
      <c r="G1" s="5" t="s">
        <v>859</v>
      </c>
      <c r="H1" s="5" t="s">
        <v>13</v>
      </c>
      <c r="I1" s="5" t="s">
        <v>860</v>
      </c>
      <c r="J1" s="2"/>
      <c r="K1" s="2"/>
      <c r="L1" s="2"/>
      <c r="M1" s="2"/>
      <c r="N1" s="2"/>
      <c r="O1" s="2"/>
      <c r="P1" s="2"/>
      <c r="Q1" s="2"/>
      <c r="R1" s="2"/>
      <c r="S1" s="2"/>
      <c r="T1" s="2"/>
      <c r="U1" s="2"/>
      <c r="V1" s="2"/>
      <c r="W1" s="2"/>
      <c r="X1" s="2"/>
      <c r="Y1" s="2"/>
      <c r="Z1" s="2"/>
    </row>
    <row r="2">
      <c r="A2" s="4" t="s">
        <v>861</v>
      </c>
      <c r="B2" s="4" t="s">
        <v>38</v>
      </c>
      <c r="C2" s="4" t="s">
        <v>862</v>
      </c>
      <c r="D2" s="4" t="s">
        <v>863</v>
      </c>
      <c r="E2" s="4" t="s">
        <v>864</v>
      </c>
      <c r="F2" s="9" t="s">
        <v>865</v>
      </c>
      <c r="G2" s="4" t="s">
        <v>866</v>
      </c>
      <c r="H2" s="4" t="s">
        <v>867</v>
      </c>
      <c r="I2" s="12" t="s">
        <v>868</v>
      </c>
      <c r="J2" s="2"/>
      <c r="K2" s="2"/>
      <c r="L2" s="2"/>
      <c r="M2" s="2"/>
      <c r="N2" s="2"/>
      <c r="O2" s="2"/>
      <c r="P2" s="2"/>
      <c r="Q2" s="2"/>
      <c r="R2" s="2"/>
      <c r="S2" s="2"/>
      <c r="T2" s="2"/>
      <c r="U2" s="2"/>
      <c r="V2" s="2"/>
      <c r="W2" s="2"/>
      <c r="X2" s="2"/>
      <c r="Y2" s="2"/>
      <c r="Z2" s="2"/>
    </row>
    <row r="3">
      <c r="A3" s="4" t="s">
        <v>869</v>
      </c>
      <c r="B3" s="4" t="s">
        <v>38</v>
      </c>
      <c r="C3" s="4" t="s">
        <v>870</v>
      </c>
      <c r="D3" s="4" t="s">
        <v>871</v>
      </c>
      <c r="E3" s="4" t="s">
        <v>872</v>
      </c>
      <c r="F3" s="9" t="s">
        <v>873</v>
      </c>
      <c r="G3" s="4" t="s">
        <v>866</v>
      </c>
      <c r="H3" s="4" t="s">
        <v>874</v>
      </c>
      <c r="I3" s="12" t="s">
        <v>868</v>
      </c>
      <c r="J3" s="2"/>
      <c r="K3" s="2"/>
      <c r="L3" s="2"/>
      <c r="M3" s="2"/>
      <c r="N3" s="2"/>
      <c r="O3" s="2"/>
      <c r="P3" s="2"/>
      <c r="Q3" s="2"/>
      <c r="R3" s="2"/>
      <c r="S3" s="2"/>
      <c r="T3" s="2"/>
      <c r="U3" s="2"/>
      <c r="V3" s="2"/>
      <c r="W3" s="2"/>
      <c r="X3" s="2"/>
      <c r="Y3" s="2"/>
      <c r="Z3" s="2"/>
    </row>
    <row r="4">
      <c r="A4" s="4" t="s">
        <v>875</v>
      </c>
      <c r="B4" s="4" t="s">
        <v>38</v>
      </c>
      <c r="C4" s="4" t="s">
        <v>876</v>
      </c>
      <c r="D4" s="4" t="s">
        <v>877</v>
      </c>
      <c r="E4" s="4" t="s">
        <v>878</v>
      </c>
      <c r="F4" s="9" t="s">
        <v>879</v>
      </c>
      <c r="G4" s="4" t="s">
        <v>866</v>
      </c>
      <c r="H4" s="4"/>
      <c r="I4" s="12" t="s">
        <v>868</v>
      </c>
      <c r="J4" s="2"/>
      <c r="K4" s="2"/>
      <c r="L4" s="2"/>
      <c r="M4" s="2"/>
      <c r="N4" s="2"/>
      <c r="O4" s="2"/>
      <c r="P4" s="2"/>
      <c r="Q4" s="2"/>
      <c r="R4" s="2"/>
      <c r="S4" s="2"/>
      <c r="T4" s="2"/>
      <c r="U4" s="2"/>
      <c r="V4" s="2"/>
      <c r="W4" s="2"/>
      <c r="X4" s="2"/>
      <c r="Y4" s="2"/>
      <c r="Z4" s="2"/>
    </row>
    <row r="5">
      <c r="A5" s="4" t="s">
        <v>880</v>
      </c>
      <c r="B5" s="4" t="s">
        <v>38</v>
      </c>
      <c r="C5" s="4" t="s">
        <v>881</v>
      </c>
      <c r="D5" s="4" t="s">
        <v>882</v>
      </c>
      <c r="E5" s="4" t="s">
        <v>432</v>
      </c>
      <c r="F5" s="9" t="s">
        <v>883</v>
      </c>
      <c r="G5" s="4" t="s">
        <v>866</v>
      </c>
      <c r="H5" s="4" t="s">
        <v>884</v>
      </c>
      <c r="I5" s="12" t="s">
        <v>868</v>
      </c>
      <c r="J5" s="2"/>
      <c r="K5" s="2"/>
      <c r="L5" s="2"/>
      <c r="M5" s="2"/>
      <c r="N5" s="2"/>
      <c r="O5" s="2"/>
      <c r="P5" s="2"/>
      <c r="Q5" s="2"/>
      <c r="R5" s="2"/>
      <c r="S5" s="2"/>
      <c r="T5" s="2"/>
      <c r="U5" s="2"/>
      <c r="V5" s="2"/>
      <c r="W5" s="2"/>
      <c r="X5" s="2"/>
      <c r="Y5" s="2"/>
      <c r="Z5" s="2"/>
    </row>
    <row r="6">
      <c r="A6" s="4" t="s">
        <v>822</v>
      </c>
      <c r="B6" s="4" t="s">
        <v>38</v>
      </c>
      <c r="C6" s="4" t="s">
        <v>823</v>
      </c>
      <c r="D6" s="4" t="s">
        <v>824</v>
      </c>
      <c r="E6" s="4" t="s">
        <v>825</v>
      </c>
      <c r="F6" s="9" t="s">
        <v>826</v>
      </c>
      <c r="G6" s="4" t="s">
        <v>866</v>
      </c>
      <c r="H6" s="4" t="s">
        <v>885</v>
      </c>
      <c r="I6" s="12" t="s">
        <v>886</v>
      </c>
      <c r="J6" s="2"/>
      <c r="K6" s="2"/>
      <c r="L6" s="2"/>
      <c r="M6" s="2"/>
      <c r="N6" s="2"/>
      <c r="O6" s="2"/>
      <c r="P6" s="2"/>
      <c r="Q6" s="2"/>
      <c r="R6" s="2"/>
      <c r="S6" s="2"/>
      <c r="T6" s="2"/>
      <c r="U6" s="2"/>
      <c r="V6" s="2"/>
      <c r="W6" s="2"/>
      <c r="X6" s="2"/>
      <c r="Y6" s="2"/>
      <c r="Z6" s="2"/>
    </row>
    <row r="7">
      <c r="A7" s="4" t="s">
        <v>887</v>
      </c>
      <c r="B7" s="4" t="s">
        <v>38</v>
      </c>
      <c r="C7" s="4" t="s">
        <v>888</v>
      </c>
      <c r="D7" s="4" t="s">
        <v>889</v>
      </c>
      <c r="E7" s="4" t="s">
        <v>890</v>
      </c>
      <c r="F7" s="9" t="s">
        <v>891</v>
      </c>
      <c r="G7" s="4" t="s">
        <v>866</v>
      </c>
      <c r="H7" s="4"/>
      <c r="I7" s="12" t="s">
        <v>868</v>
      </c>
      <c r="J7" s="2"/>
      <c r="K7" s="2"/>
      <c r="L7" s="2"/>
      <c r="M7" s="2"/>
      <c r="N7" s="2"/>
      <c r="O7" s="2"/>
      <c r="P7" s="2"/>
      <c r="Q7" s="2"/>
      <c r="R7" s="2"/>
      <c r="S7" s="2"/>
      <c r="T7" s="2"/>
      <c r="U7" s="2"/>
      <c r="V7" s="2"/>
      <c r="W7" s="2"/>
      <c r="X7" s="2"/>
      <c r="Y7" s="2"/>
      <c r="Z7" s="2"/>
    </row>
    <row r="8">
      <c r="A8" s="4" t="s">
        <v>892</v>
      </c>
      <c r="B8" s="4" t="s">
        <v>38</v>
      </c>
      <c r="C8" s="4" t="s">
        <v>893</v>
      </c>
      <c r="D8" s="4" t="s">
        <v>894</v>
      </c>
      <c r="E8" s="4" t="s">
        <v>432</v>
      </c>
      <c r="F8" s="9" t="s">
        <v>883</v>
      </c>
      <c r="G8" s="4" t="s">
        <v>866</v>
      </c>
      <c r="H8" s="4" t="s">
        <v>884</v>
      </c>
      <c r="I8" s="12" t="s">
        <v>868</v>
      </c>
      <c r="J8" s="2"/>
      <c r="K8" s="2"/>
      <c r="L8" s="2"/>
      <c r="M8" s="2"/>
      <c r="N8" s="2"/>
      <c r="O8" s="2"/>
      <c r="P8" s="2"/>
      <c r="Q8" s="2"/>
      <c r="R8" s="2"/>
      <c r="S8" s="2"/>
      <c r="T8" s="2"/>
      <c r="U8" s="2"/>
      <c r="V8" s="2"/>
      <c r="W8" s="2"/>
      <c r="X8" s="2"/>
      <c r="Y8" s="2"/>
      <c r="Z8" s="2"/>
    </row>
    <row r="9">
      <c r="A9" s="4" t="s">
        <v>831</v>
      </c>
      <c r="B9" s="4" t="s">
        <v>38</v>
      </c>
      <c r="C9" s="4" t="s">
        <v>832</v>
      </c>
      <c r="D9" s="4" t="s">
        <v>833</v>
      </c>
      <c r="E9" s="4" t="s">
        <v>834</v>
      </c>
      <c r="F9" s="9" t="s">
        <v>835</v>
      </c>
      <c r="G9" s="4" t="s">
        <v>866</v>
      </c>
      <c r="H9" s="4" t="s">
        <v>867</v>
      </c>
      <c r="I9" s="12" t="s">
        <v>886</v>
      </c>
      <c r="J9" s="2"/>
      <c r="K9" s="2"/>
      <c r="L9" s="2"/>
      <c r="M9" s="2"/>
      <c r="N9" s="2"/>
      <c r="O9" s="2"/>
      <c r="P9" s="2"/>
      <c r="Q9" s="2"/>
      <c r="R9" s="2"/>
      <c r="S9" s="2"/>
      <c r="T9" s="2"/>
      <c r="U9" s="2"/>
      <c r="V9" s="2"/>
      <c r="W9" s="2"/>
      <c r="X9" s="2"/>
      <c r="Y9" s="2"/>
      <c r="Z9" s="2"/>
    </row>
    <row r="10">
      <c r="A10" s="4" t="s">
        <v>895</v>
      </c>
      <c r="B10" s="4" t="s">
        <v>38</v>
      </c>
      <c r="C10" s="4" t="s">
        <v>896</v>
      </c>
      <c r="D10" s="4" t="s">
        <v>897</v>
      </c>
      <c r="E10" s="4" t="s">
        <v>898</v>
      </c>
      <c r="F10" s="9" t="s">
        <v>899</v>
      </c>
      <c r="G10" s="4" t="s">
        <v>866</v>
      </c>
      <c r="H10" s="4" t="s">
        <v>874</v>
      </c>
      <c r="I10" s="12" t="s">
        <v>868</v>
      </c>
      <c r="J10" s="2"/>
      <c r="K10" s="2"/>
      <c r="L10" s="2"/>
      <c r="M10" s="2"/>
      <c r="N10" s="2"/>
      <c r="O10" s="2"/>
      <c r="P10" s="2"/>
      <c r="Q10" s="2"/>
      <c r="R10" s="2"/>
      <c r="S10" s="2"/>
      <c r="T10" s="2"/>
      <c r="U10" s="2"/>
      <c r="V10" s="2"/>
      <c r="W10" s="2"/>
      <c r="X10" s="2"/>
      <c r="Y10" s="2"/>
      <c r="Z10" s="2"/>
    </row>
    <row r="11">
      <c r="A11" s="4" t="s">
        <v>900</v>
      </c>
      <c r="B11" s="4" t="s">
        <v>38</v>
      </c>
      <c r="C11" s="4" t="s">
        <v>901</v>
      </c>
      <c r="D11" s="4" t="s">
        <v>902</v>
      </c>
      <c r="E11" s="4" t="s">
        <v>903</v>
      </c>
      <c r="F11" s="9" t="s">
        <v>904</v>
      </c>
      <c r="G11" s="4" t="s">
        <v>866</v>
      </c>
      <c r="H11" s="4"/>
      <c r="I11" s="12" t="s">
        <v>868</v>
      </c>
      <c r="J11" s="2"/>
      <c r="K11" s="2"/>
      <c r="L11" s="2"/>
      <c r="M11" s="2"/>
      <c r="N11" s="2"/>
      <c r="O11" s="2"/>
      <c r="P11" s="2"/>
      <c r="Q11" s="2"/>
      <c r="R11" s="2"/>
      <c r="S11" s="2"/>
      <c r="T11" s="2"/>
      <c r="U11" s="2"/>
      <c r="V11" s="2"/>
      <c r="W11" s="2"/>
      <c r="X11" s="2"/>
      <c r="Y11" s="2"/>
      <c r="Z11" s="2"/>
    </row>
    <row r="12">
      <c r="A12" s="4" t="s">
        <v>905</v>
      </c>
      <c r="B12" s="4" t="s">
        <v>38</v>
      </c>
      <c r="C12" s="4" t="s">
        <v>906</v>
      </c>
      <c r="D12" s="4" t="s">
        <v>907</v>
      </c>
      <c r="E12" s="4" t="s">
        <v>432</v>
      </c>
      <c r="F12" s="9" t="s">
        <v>908</v>
      </c>
      <c r="G12" s="4" t="s">
        <v>866</v>
      </c>
      <c r="H12" s="4" t="s">
        <v>867</v>
      </c>
      <c r="I12" s="12" t="s">
        <v>868</v>
      </c>
      <c r="J12" s="2"/>
      <c r="K12" s="2"/>
      <c r="L12" s="2"/>
      <c r="M12" s="2"/>
      <c r="N12" s="2"/>
      <c r="O12" s="2"/>
      <c r="P12" s="2"/>
      <c r="Q12" s="2"/>
      <c r="R12" s="2"/>
      <c r="S12" s="2"/>
      <c r="T12" s="2"/>
      <c r="U12" s="2"/>
      <c r="V12" s="2"/>
      <c r="W12" s="2"/>
      <c r="X12" s="2"/>
      <c r="Y12" s="2"/>
      <c r="Z12" s="2"/>
    </row>
    <row r="13">
      <c r="A13" s="4" t="s">
        <v>909</v>
      </c>
      <c r="B13" s="4" t="s">
        <v>38</v>
      </c>
      <c r="C13" s="4" t="s">
        <v>910</v>
      </c>
      <c r="D13" s="4" t="s">
        <v>911</v>
      </c>
      <c r="E13" s="4" t="s">
        <v>912</v>
      </c>
      <c r="F13" s="9" t="s">
        <v>913</v>
      </c>
      <c r="G13" s="4" t="s">
        <v>866</v>
      </c>
      <c r="H13" s="4"/>
      <c r="I13" s="12" t="s">
        <v>868</v>
      </c>
      <c r="J13" s="2"/>
      <c r="K13" s="2"/>
      <c r="L13" s="2"/>
      <c r="M13" s="2"/>
      <c r="N13" s="2"/>
      <c r="O13" s="2"/>
      <c r="P13" s="2"/>
      <c r="Q13" s="2"/>
      <c r="R13" s="2"/>
      <c r="S13" s="2"/>
      <c r="T13" s="2"/>
      <c r="U13" s="2"/>
      <c r="V13" s="2"/>
      <c r="W13" s="2"/>
      <c r="X13" s="2"/>
      <c r="Y13" s="2"/>
      <c r="Z13" s="2"/>
    </row>
    <row r="14">
      <c r="A14" s="4" t="s">
        <v>914</v>
      </c>
      <c r="B14" s="4" t="s">
        <v>39</v>
      </c>
      <c r="C14" s="4" t="s">
        <v>915</v>
      </c>
      <c r="D14" s="4" t="s">
        <v>916</v>
      </c>
      <c r="E14" s="4" t="s">
        <v>872</v>
      </c>
      <c r="F14" s="9" t="s">
        <v>917</v>
      </c>
      <c r="G14" s="4" t="s">
        <v>866</v>
      </c>
      <c r="H14" s="4" t="s">
        <v>874</v>
      </c>
      <c r="I14" s="14" t="s">
        <v>868</v>
      </c>
      <c r="J14" s="2"/>
      <c r="K14" s="2"/>
      <c r="L14" s="2"/>
      <c r="M14" s="2"/>
      <c r="N14" s="2"/>
      <c r="O14" s="2"/>
      <c r="P14" s="2"/>
      <c r="Q14" s="2"/>
      <c r="R14" s="2"/>
      <c r="S14" s="2"/>
      <c r="T14" s="2"/>
      <c r="U14" s="2"/>
      <c r="V14" s="2"/>
      <c r="W14" s="2"/>
      <c r="X14" s="2"/>
      <c r="Y14" s="2"/>
      <c r="Z14" s="2"/>
    </row>
    <row r="15">
      <c r="A15" s="4" t="s">
        <v>918</v>
      </c>
      <c r="B15" s="4" t="s">
        <v>39</v>
      </c>
      <c r="C15" s="4" t="s">
        <v>919</v>
      </c>
      <c r="D15" s="4" t="s">
        <v>920</v>
      </c>
      <c r="E15" s="4" t="s">
        <v>921</v>
      </c>
      <c r="F15" s="9" t="s">
        <v>922</v>
      </c>
      <c r="G15" s="4" t="s">
        <v>866</v>
      </c>
      <c r="H15" s="4" t="s">
        <v>874</v>
      </c>
      <c r="I15" s="14" t="s">
        <v>868</v>
      </c>
      <c r="J15" s="2"/>
      <c r="K15" s="2"/>
      <c r="L15" s="2"/>
      <c r="M15" s="2"/>
      <c r="N15" s="2"/>
      <c r="O15" s="2"/>
      <c r="P15" s="2"/>
      <c r="Q15" s="2"/>
      <c r="R15" s="2"/>
      <c r="S15" s="2"/>
      <c r="T15" s="2"/>
      <c r="U15" s="2"/>
      <c r="V15" s="2"/>
      <c r="W15" s="2"/>
      <c r="X15" s="2"/>
      <c r="Y15" s="2"/>
      <c r="Z15" s="2"/>
    </row>
    <row r="16">
      <c r="A16" s="4" t="s">
        <v>923</v>
      </c>
      <c r="B16" s="4" t="s">
        <v>39</v>
      </c>
      <c r="C16" s="4" t="s">
        <v>924</v>
      </c>
      <c r="D16" s="4" t="s">
        <v>925</v>
      </c>
      <c r="E16" s="4" t="s">
        <v>926</v>
      </c>
      <c r="F16" s="9" t="s">
        <v>927</v>
      </c>
      <c r="G16" s="4" t="s">
        <v>866</v>
      </c>
      <c r="H16" s="4" t="s">
        <v>874</v>
      </c>
      <c r="I16" s="14" t="s">
        <v>868</v>
      </c>
      <c r="J16" s="2"/>
      <c r="K16" s="2"/>
      <c r="L16" s="2"/>
      <c r="M16" s="2"/>
      <c r="N16" s="2"/>
      <c r="O16" s="2"/>
      <c r="P16" s="2"/>
      <c r="Q16" s="2"/>
      <c r="R16" s="2"/>
      <c r="S16" s="2"/>
      <c r="T16" s="2"/>
      <c r="U16" s="2"/>
      <c r="V16" s="2"/>
      <c r="W16" s="2"/>
      <c r="X16" s="2"/>
      <c r="Y16" s="2"/>
      <c r="Z16" s="2"/>
    </row>
    <row r="17">
      <c r="A17" s="4" t="s">
        <v>838</v>
      </c>
      <c r="B17" s="4" t="s">
        <v>39</v>
      </c>
      <c r="C17" s="4" t="s">
        <v>839</v>
      </c>
      <c r="D17" s="4" t="s">
        <v>928</v>
      </c>
      <c r="E17" s="4" t="s">
        <v>841</v>
      </c>
      <c r="F17" s="9" t="s">
        <v>929</v>
      </c>
      <c r="G17" s="4" t="s">
        <v>866</v>
      </c>
      <c r="H17" s="4" t="s">
        <v>867</v>
      </c>
      <c r="I17" s="12" t="s">
        <v>886</v>
      </c>
      <c r="J17" s="2"/>
      <c r="K17" s="2"/>
      <c r="L17" s="2"/>
      <c r="M17" s="2"/>
      <c r="N17" s="2"/>
      <c r="O17" s="2"/>
      <c r="P17" s="2"/>
      <c r="Q17" s="2"/>
      <c r="R17" s="2"/>
      <c r="S17" s="2"/>
      <c r="T17" s="2"/>
      <c r="U17" s="2"/>
      <c r="V17" s="2"/>
      <c r="W17" s="2"/>
      <c r="X17" s="2"/>
      <c r="Y17" s="2"/>
      <c r="Z17" s="2"/>
    </row>
    <row r="18">
      <c r="A18" s="4" t="s">
        <v>930</v>
      </c>
      <c r="B18" s="4" t="s">
        <v>39</v>
      </c>
      <c r="C18" s="4" t="s">
        <v>931</v>
      </c>
      <c r="D18" s="4" t="s">
        <v>932</v>
      </c>
      <c r="E18" s="4" t="s">
        <v>933</v>
      </c>
      <c r="F18" s="9" t="s">
        <v>934</v>
      </c>
      <c r="G18" s="4" t="s">
        <v>866</v>
      </c>
      <c r="H18" s="4"/>
      <c r="I18" s="14" t="s">
        <v>868</v>
      </c>
      <c r="J18" s="2"/>
      <c r="K18" s="2"/>
      <c r="L18" s="2"/>
      <c r="M18" s="2"/>
      <c r="N18" s="2"/>
      <c r="O18" s="2"/>
      <c r="P18" s="2"/>
      <c r="Q18" s="2"/>
      <c r="R18" s="2"/>
      <c r="S18" s="2"/>
      <c r="T18" s="2"/>
      <c r="U18" s="2"/>
      <c r="V18" s="2"/>
      <c r="W18" s="2"/>
      <c r="X18" s="2"/>
      <c r="Y18" s="2"/>
      <c r="Z18" s="2"/>
    </row>
    <row r="19">
      <c r="A19" s="4" t="s">
        <v>935</v>
      </c>
      <c r="B19" s="4" t="s">
        <v>39</v>
      </c>
      <c r="C19" s="4" t="s">
        <v>936</v>
      </c>
      <c r="D19" s="4" t="s">
        <v>937</v>
      </c>
      <c r="E19" s="4" t="s">
        <v>432</v>
      </c>
      <c r="F19" s="9" t="s">
        <v>938</v>
      </c>
      <c r="G19" s="4" t="s">
        <v>866</v>
      </c>
      <c r="H19" s="4" t="s">
        <v>884</v>
      </c>
      <c r="I19" s="14" t="s">
        <v>868</v>
      </c>
      <c r="J19" s="2"/>
      <c r="K19" s="2"/>
      <c r="L19" s="2"/>
      <c r="M19" s="2"/>
      <c r="N19" s="2"/>
      <c r="O19" s="2"/>
      <c r="P19" s="2"/>
      <c r="Q19" s="2"/>
      <c r="R19" s="2"/>
      <c r="S19" s="2"/>
      <c r="T19" s="2"/>
      <c r="U19" s="2"/>
      <c r="V19" s="2"/>
      <c r="W19" s="2"/>
      <c r="X19" s="2"/>
      <c r="Y19" s="2"/>
      <c r="Z19" s="2"/>
    </row>
    <row r="20">
      <c r="A20" s="4" t="s">
        <v>845</v>
      </c>
      <c r="B20" s="4" t="s">
        <v>39</v>
      </c>
      <c r="C20" s="4" t="s">
        <v>846</v>
      </c>
      <c r="D20" s="4" t="s">
        <v>939</v>
      </c>
      <c r="E20" s="4" t="s">
        <v>848</v>
      </c>
      <c r="F20" s="9" t="s">
        <v>940</v>
      </c>
      <c r="G20" s="4" t="s">
        <v>866</v>
      </c>
      <c r="H20" s="4" t="s">
        <v>885</v>
      </c>
      <c r="I20" s="12" t="s">
        <v>886</v>
      </c>
      <c r="J20" s="2"/>
      <c r="K20" s="2"/>
      <c r="L20" s="2"/>
      <c r="M20" s="2"/>
      <c r="N20" s="2"/>
      <c r="O20" s="2"/>
      <c r="P20" s="2"/>
      <c r="Q20" s="2"/>
      <c r="R20" s="2"/>
      <c r="S20" s="2"/>
      <c r="T20" s="2"/>
      <c r="U20" s="2"/>
      <c r="V20" s="2"/>
      <c r="W20" s="2"/>
      <c r="X20" s="2"/>
      <c r="Y20" s="2"/>
      <c r="Z20" s="2"/>
    </row>
    <row r="21" ht="15.75" customHeight="1">
      <c r="A21" s="4" t="s">
        <v>941</v>
      </c>
      <c r="B21" s="4" t="s">
        <v>39</v>
      </c>
      <c r="C21" s="4" t="s">
        <v>942</v>
      </c>
      <c r="D21" s="4" t="s">
        <v>943</v>
      </c>
      <c r="E21" s="4" t="s">
        <v>432</v>
      </c>
      <c r="F21" s="9" t="s">
        <v>938</v>
      </c>
      <c r="G21" s="4" t="s">
        <v>866</v>
      </c>
      <c r="H21" s="4" t="s">
        <v>884</v>
      </c>
      <c r="I21" s="14" t="s">
        <v>868</v>
      </c>
      <c r="J21" s="2"/>
      <c r="K21" s="2"/>
      <c r="L21" s="2"/>
      <c r="M21" s="2"/>
      <c r="N21" s="2"/>
      <c r="O21" s="2"/>
      <c r="P21" s="2"/>
      <c r="Q21" s="2"/>
      <c r="R21" s="2"/>
      <c r="S21" s="2"/>
      <c r="T21" s="2"/>
      <c r="U21" s="2"/>
      <c r="V21" s="2"/>
      <c r="W21" s="2"/>
      <c r="X21" s="2"/>
      <c r="Y21" s="2"/>
      <c r="Z21" s="2"/>
    </row>
    <row r="22" ht="15.75" customHeight="1">
      <c r="A22" s="4" t="s">
        <v>944</v>
      </c>
      <c r="B22" s="4" t="s">
        <v>39</v>
      </c>
      <c r="C22" s="4" t="s">
        <v>945</v>
      </c>
      <c r="D22" s="4" t="s">
        <v>946</v>
      </c>
      <c r="E22" s="4" t="s">
        <v>947</v>
      </c>
      <c r="F22" s="9" t="s">
        <v>948</v>
      </c>
      <c r="G22" s="4" t="s">
        <v>866</v>
      </c>
      <c r="H22" s="4" t="s">
        <v>885</v>
      </c>
      <c r="I22" s="14" t="s">
        <v>868</v>
      </c>
      <c r="J22" s="2"/>
      <c r="K22" s="2"/>
      <c r="L22" s="2"/>
      <c r="M22" s="2"/>
      <c r="N22" s="2"/>
      <c r="O22" s="2"/>
      <c r="P22" s="2"/>
      <c r="Q22" s="2"/>
      <c r="R22" s="2"/>
      <c r="S22" s="2"/>
      <c r="T22" s="2"/>
      <c r="U22" s="2"/>
      <c r="V22" s="2"/>
      <c r="W22" s="2"/>
      <c r="X22" s="2"/>
      <c r="Y22" s="2"/>
      <c r="Z22" s="2"/>
    </row>
    <row r="23" ht="15.75" customHeight="1">
      <c r="A23" s="4" t="s">
        <v>949</v>
      </c>
      <c r="B23" s="4" t="s">
        <v>39</v>
      </c>
      <c r="C23" s="4" t="s">
        <v>950</v>
      </c>
      <c r="D23" s="4" t="s">
        <v>951</v>
      </c>
      <c r="E23" s="4" t="s">
        <v>952</v>
      </c>
      <c r="F23" s="9" t="s">
        <v>953</v>
      </c>
      <c r="G23" s="4" t="s">
        <v>866</v>
      </c>
      <c r="H23" s="4"/>
      <c r="I23" s="14" t="s">
        <v>868</v>
      </c>
      <c r="J23" s="2"/>
      <c r="K23" s="2"/>
      <c r="L23" s="2"/>
      <c r="M23" s="2"/>
      <c r="N23" s="2"/>
      <c r="O23" s="2"/>
      <c r="P23" s="2"/>
      <c r="Q23" s="2"/>
      <c r="R23" s="2"/>
      <c r="S23" s="2"/>
      <c r="T23" s="2"/>
      <c r="U23" s="2"/>
      <c r="V23" s="2"/>
      <c r="W23" s="2"/>
      <c r="X23" s="2"/>
      <c r="Y23" s="2"/>
      <c r="Z23" s="2"/>
    </row>
    <row r="24" ht="15.75" customHeight="1">
      <c r="A24" s="4" t="s">
        <v>954</v>
      </c>
      <c r="B24" s="4" t="s">
        <v>39</v>
      </c>
      <c r="C24" s="4" t="s">
        <v>955</v>
      </c>
      <c r="D24" s="4" t="s">
        <v>956</v>
      </c>
      <c r="E24" s="4" t="s">
        <v>432</v>
      </c>
      <c r="F24" s="9" t="s">
        <v>957</v>
      </c>
      <c r="G24" s="4" t="s">
        <v>866</v>
      </c>
      <c r="H24" s="4" t="s">
        <v>867</v>
      </c>
      <c r="I24" s="14" t="s">
        <v>868</v>
      </c>
      <c r="J24" s="2"/>
      <c r="K24" s="2"/>
      <c r="L24" s="2"/>
      <c r="M24" s="2"/>
      <c r="N24" s="2"/>
      <c r="O24" s="2"/>
      <c r="P24" s="2"/>
      <c r="Q24" s="2"/>
      <c r="R24" s="2"/>
      <c r="S24" s="2"/>
      <c r="T24" s="2"/>
      <c r="U24" s="2"/>
      <c r="V24" s="2"/>
      <c r="W24" s="2"/>
      <c r="X24" s="2"/>
      <c r="Y24" s="2"/>
      <c r="Z24" s="2"/>
    </row>
    <row r="25" ht="15.75" customHeight="1">
      <c r="A25" s="4" t="s">
        <v>852</v>
      </c>
      <c r="B25" s="4" t="s">
        <v>39</v>
      </c>
      <c r="C25" s="4" t="s">
        <v>853</v>
      </c>
      <c r="D25" s="4" t="s">
        <v>958</v>
      </c>
      <c r="E25" s="4" t="s">
        <v>855</v>
      </c>
      <c r="F25" s="9" t="s">
        <v>959</v>
      </c>
      <c r="G25" s="4" t="s">
        <v>866</v>
      </c>
      <c r="H25" s="4" t="s">
        <v>885</v>
      </c>
      <c r="I25" s="12" t="s">
        <v>886</v>
      </c>
      <c r="J25" s="2"/>
      <c r="K25" s="2"/>
      <c r="L25" s="2"/>
      <c r="M25" s="2"/>
      <c r="N25" s="2"/>
      <c r="O25" s="2"/>
      <c r="P25" s="2"/>
      <c r="Q25" s="2"/>
      <c r="R25" s="2"/>
      <c r="S25" s="2"/>
      <c r="T25" s="2"/>
      <c r="U25" s="2"/>
      <c r="V25" s="2"/>
      <c r="W25" s="2"/>
      <c r="X25" s="2"/>
      <c r="Y25" s="2"/>
      <c r="Z25" s="2"/>
    </row>
    <row r="26" ht="15.75" customHeight="1">
      <c r="A26" s="4" t="s">
        <v>960</v>
      </c>
      <c r="B26" s="4" t="s">
        <v>39</v>
      </c>
      <c r="C26" s="4" t="s">
        <v>961</v>
      </c>
      <c r="D26" s="4" t="s">
        <v>962</v>
      </c>
      <c r="E26" s="4" t="s">
        <v>963</v>
      </c>
      <c r="F26" s="9" t="s">
        <v>964</v>
      </c>
      <c r="G26" s="4" t="s">
        <v>866</v>
      </c>
      <c r="H26" s="4" t="s">
        <v>874</v>
      </c>
      <c r="I26" s="14" t="s">
        <v>868</v>
      </c>
      <c r="J26" s="2"/>
      <c r="K26" s="2"/>
      <c r="L26" s="2"/>
      <c r="M26" s="2"/>
      <c r="N26" s="2"/>
      <c r="O26" s="2"/>
      <c r="P26" s="2"/>
      <c r="Q26" s="2"/>
      <c r="R26" s="2"/>
      <c r="S26" s="2"/>
      <c r="T26" s="2"/>
      <c r="U26" s="2"/>
      <c r="V26" s="2"/>
      <c r="W26" s="2"/>
      <c r="X26" s="2"/>
      <c r="Y26" s="2"/>
      <c r="Z26" s="2"/>
    </row>
    <row r="27" ht="15.75" customHeight="1">
      <c r="A27" s="4" t="s">
        <v>965</v>
      </c>
      <c r="B27" s="4" t="s">
        <v>39</v>
      </c>
      <c r="C27" s="4" t="s">
        <v>966</v>
      </c>
      <c r="D27" s="4" t="s">
        <v>967</v>
      </c>
      <c r="E27" s="4" t="s">
        <v>968</v>
      </c>
      <c r="F27" s="9" t="s">
        <v>969</v>
      </c>
      <c r="G27" s="4" t="s">
        <v>866</v>
      </c>
      <c r="H27" s="4" t="s">
        <v>885</v>
      </c>
      <c r="I27" s="14" t="s">
        <v>868</v>
      </c>
      <c r="J27" s="2"/>
      <c r="K27" s="2"/>
      <c r="L27" s="2"/>
      <c r="M27" s="2"/>
      <c r="N27" s="2"/>
      <c r="O27" s="2"/>
      <c r="P27" s="2"/>
      <c r="Q27" s="2"/>
      <c r="R27" s="2"/>
      <c r="S27" s="2"/>
      <c r="T27" s="2"/>
      <c r="U27" s="2"/>
      <c r="V27" s="2"/>
      <c r="W27" s="2"/>
      <c r="X27" s="2"/>
      <c r="Y27" s="2"/>
      <c r="Z27" s="2"/>
    </row>
    <row r="28" ht="15.75" customHeight="1">
      <c r="A28" s="4" t="s">
        <v>970</v>
      </c>
      <c r="B28" s="4" t="s">
        <v>39</v>
      </c>
      <c r="C28" s="4" t="s">
        <v>971</v>
      </c>
      <c r="D28" s="4" t="s">
        <v>972</v>
      </c>
      <c r="E28" s="4" t="s">
        <v>973</v>
      </c>
      <c r="F28" s="9" t="s">
        <v>974</v>
      </c>
      <c r="G28" s="4" t="s">
        <v>866</v>
      </c>
      <c r="H28" s="4"/>
      <c r="I28" s="14" t="s">
        <v>868</v>
      </c>
      <c r="J28" s="2"/>
      <c r="K28" s="2"/>
      <c r="L28" s="2"/>
      <c r="M28" s="2"/>
      <c r="N28" s="2"/>
      <c r="O28" s="2"/>
      <c r="P28" s="2"/>
      <c r="Q28" s="2"/>
      <c r="R28" s="2"/>
      <c r="S28" s="2"/>
      <c r="T28" s="2"/>
      <c r="U28" s="2"/>
      <c r="V28" s="2"/>
      <c r="W28" s="2"/>
      <c r="X28" s="2"/>
      <c r="Y28" s="2"/>
      <c r="Z28" s="2"/>
    </row>
    <row r="29" ht="15.75" customHeight="1">
      <c r="A29" s="4" t="s">
        <v>975</v>
      </c>
      <c r="B29" s="4" t="s">
        <v>39</v>
      </c>
      <c r="C29" s="4" t="s">
        <v>976</v>
      </c>
      <c r="D29" s="4" t="s">
        <v>977</v>
      </c>
      <c r="E29" s="4" t="s">
        <v>978</v>
      </c>
      <c r="F29" s="9" t="s">
        <v>979</v>
      </c>
      <c r="G29" s="4" t="s">
        <v>866</v>
      </c>
      <c r="H29" s="4"/>
      <c r="I29" s="14" t="s">
        <v>868</v>
      </c>
      <c r="J29" s="2"/>
      <c r="K29" s="2"/>
      <c r="L29" s="2"/>
      <c r="M29" s="2"/>
      <c r="N29" s="2"/>
      <c r="O29" s="2"/>
      <c r="P29" s="2"/>
      <c r="Q29" s="2"/>
      <c r="R29" s="2"/>
      <c r="S29" s="2"/>
      <c r="T29" s="2"/>
      <c r="U29" s="2"/>
      <c r="V29" s="2"/>
      <c r="W29" s="2"/>
      <c r="X29" s="2"/>
      <c r="Y29" s="2"/>
      <c r="Z29" s="2"/>
    </row>
    <row r="30" ht="15.75" customHeight="1">
      <c r="A30" s="4" t="s">
        <v>980</v>
      </c>
      <c r="B30" s="4" t="s">
        <v>40</v>
      </c>
      <c r="C30" s="4" t="s">
        <v>981</v>
      </c>
      <c r="D30" s="4" t="s">
        <v>982</v>
      </c>
      <c r="E30" s="4" t="s">
        <v>155</v>
      </c>
      <c r="F30" s="9" t="s">
        <v>983</v>
      </c>
      <c r="G30" s="4" t="s">
        <v>866</v>
      </c>
      <c r="H30" s="4" t="s">
        <v>984</v>
      </c>
      <c r="I30" s="14" t="s">
        <v>868</v>
      </c>
      <c r="J30" s="2"/>
      <c r="K30" s="2"/>
      <c r="L30" s="2"/>
      <c r="M30" s="2"/>
      <c r="N30" s="2"/>
      <c r="O30" s="2"/>
      <c r="P30" s="2"/>
      <c r="Q30" s="2"/>
      <c r="R30" s="2"/>
      <c r="S30" s="2"/>
      <c r="T30" s="2"/>
      <c r="U30" s="2"/>
      <c r="V30" s="2"/>
      <c r="W30" s="2"/>
      <c r="X30" s="2"/>
      <c r="Y30" s="2"/>
      <c r="Z30" s="2"/>
    </row>
    <row r="31" ht="15.75" customHeight="1">
      <c r="A31" s="4" t="s">
        <v>985</v>
      </c>
      <c r="B31" s="4" t="s">
        <v>40</v>
      </c>
      <c r="C31" s="4" t="s">
        <v>986</v>
      </c>
      <c r="D31" s="4" t="s">
        <v>987</v>
      </c>
      <c r="E31" s="4" t="s">
        <v>988</v>
      </c>
      <c r="F31" s="9" t="s">
        <v>989</v>
      </c>
      <c r="G31" s="4" t="s">
        <v>866</v>
      </c>
      <c r="H31" s="4" t="s">
        <v>874</v>
      </c>
      <c r="I31" s="14" t="s">
        <v>868</v>
      </c>
      <c r="J31" s="2"/>
      <c r="K31" s="2"/>
      <c r="L31" s="2"/>
      <c r="M31" s="2"/>
      <c r="N31" s="2"/>
      <c r="O31" s="2"/>
      <c r="P31" s="2"/>
      <c r="Q31" s="2"/>
      <c r="R31" s="2"/>
      <c r="S31" s="2"/>
      <c r="T31" s="2"/>
      <c r="U31" s="2"/>
      <c r="V31" s="2"/>
      <c r="W31" s="2"/>
      <c r="X31" s="2"/>
      <c r="Y31" s="2"/>
      <c r="Z31" s="2"/>
    </row>
    <row r="32" ht="15.75" customHeight="1">
      <c r="A32" s="4" t="s">
        <v>990</v>
      </c>
      <c r="B32" s="4" t="s">
        <v>40</v>
      </c>
      <c r="C32" s="4" t="s">
        <v>991</v>
      </c>
      <c r="D32" s="4" t="s">
        <v>992</v>
      </c>
      <c r="E32" s="4" t="s">
        <v>993</v>
      </c>
      <c r="F32" s="9" t="s">
        <v>994</v>
      </c>
      <c r="G32" s="4" t="s">
        <v>866</v>
      </c>
      <c r="H32" s="4" t="s">
        <v>874</v>
      </c>
      <c r="I32" s="14" t="s">
        <v>868</v>
      </c>
      <c r="J32" s="2"/>
      <c r="K32" s="2"/>
      <c r="L32" s="2"/>
      <c r="M32" s="2"/>
      <c r="N32" s="2"/>
      <c r="O32" s="2"/>
      <c r="P32" s="2"/>
      <c r="Q32" s="2"/>
      <c r="R32" s="2"/>
      <c r="S32" s="2"/>
      <c r="T32" s="2"/>
      <c r="U32" s="2"/>
      <c r="V32" s="2"/>
      <c r="W32" s="2"/>
      <c r="X32" s="2"/>
      <c r="Y32" s="2"/>
      <c r="Z32" s="2"/>
    </row>
    <row r="33" ht="15.75" customHeight="1">
      <c r="A33" s="4" t="s">
        <v>995</v>
      </c>
      <c r="B33" s="4" t="s">
        <v>40</v>
      </c>
      <c r="C33" s="4" t="s">
        <v>996</v>
      </c>
      <c r="D33" s="4" t="s">
        <v>997</v>
      </c>
      <c r="E33" s="4" t="s">
        <v>998</v>
      </c>
      <c r="F33" s="9" t="s">
        <v>999</v>
      </c>
      <c r="G33" s="4" t="s">
        <v>866</v>
      </c>
      <c r="H33" s="4" t="s">
        <v>874</v>
      </c>
      <c r="I33" s="14" t="s">
        <v>868</v>
      </c>
      <c r="J33" s="2"/>
      <c r="K33" s="2"/>
      <c r="L33" s="2"/>
      <c r="M33" s="2"/>
      <c r="N33" s="2"/>
      <c r="O33" s="2"/>
      <c r="P33" s="2"/>
      <c r="Q33" s="2"/>
      <c r="R33" s="2"/>
      <c r="S33" s="2"/>
      <c r="T33" s="2"/>
      <c r="U33" s="2"/>
      <c r="V33" s="2"/>
      <c r="W33" s="2"/>
      <c r="X33" s="2"/>
      <c r="Y33" s="2"/>
      <c r="Z33" s="2"/>
    </row>
    <row r="34" ht="15.75" customHeight="1">
      <c r="A34" s="4" t="s">
        <v>1000</v>
      </c>
      <c r="B34" s="4" t="s">
        <v>40</v>
      </c>
      <c r="C34" s="4" t="s">
        <v>920</v>
      </c>
      <c r="D34" s="4" t="s">
        <v>1001</v>
      </c>
      <c r="E34" s="4" t="s">
        <v>155</v>
      </c>
      <c r="F34" s="9" t="s">
        <v>1002</v>
      </c>
      <c r="G34" s="4" t="s">
        <v>866</v>
      </c>
      <c r="H34" s="4" t="s">
        <v>984</v>
      </c>
      <c r="I34" s="14" t="s">
        <v>868</v>
      </c>
      <c r="J34" s="2"/>
      <c r="K34" s="2"/>
      <c r="L34" s="2"/>
      <c r="M34" s="2"/>
      <c r="N34" s="2"/>
      <c r="O34" s="2"/>
      <c r="P34" s="2"/>
      <c r="Q34" s="2"/>
      <c r="R34" s="2"/>
      <c r="S34" s="2"/>
      <c r="T34" s="2"/>
      <c r="U34" s="2"/>
      <c r="V34" s="2"/>
      <c r="W34" s="2"/>
      <c r="X34" s="2"/>
      <c r="Y34" s="2"/>
      <c r="Z34" s="2"/>
    </row>
    <row r="35" ht="15.75" customHeight="1">
      <c r="A35" s="4" t="s">
        <v>1003</v>
      </c>
      <c r="B35" s="4" t="s">
        <v>40</v>
      </c>
      <c r="C35" s="4" t="s">
        <v>1004</v>
      </c>
      <c r="D35" s="4" t="s">
        <v>1005</v>
      </c>
      <c r="E35" s="4" t="s">
        <v>1006</v>
      </c>
      <c r="F35" s="9" t="s">
        <v>1007</v>
      </c>
      <c r="G35" s="4" t="s">
        <v>866</v>
      </c>
      <c r="H35" s="4" t="s">
        <v>874</v>
      </c>
      <c r="I35" s="14" t="s">
        <v>868</v>
      </c>
      <c r="J35" s="2"/>
      <c r="K35" s="2"/>
      <c r="L35" s="2"/>
      <c r="M35" s="2"/>
      <c r="N35" s="2"/>
      <c r="O35" s="2"/>
      <c r="P35" s="2"/>
      <c r="Q35" s="2"/>
      <c r="R35" s="2"/>
      <c r="S35" s="2"/>
      <c r="T35" s="2"/>
      <c r="U35" s="2"/>
      <c r="V35" s="2"/>
      <c r="W35" s="2"/>
      <c r="X35" s="2"/>
      <c r="Y35" s="2"/>
      <c r="Z35" s="2"/>
    </row>
    <row r="36" ht="15.75" customHeight="1">
      <c r="A36" s="4" t="s">
        <v>1008</v>
      </c>
      <c r="B36" s="4" t="s">
        <v>40</v>
      </c>
      <c r="C36" s="4" t="s">
        <v>264</v>
      </c>
      <c r="D36" s="4" t="s">
        <v>1009</v>
      </c>
      <c r="E36" s="4" t="s">
        <v>1010</v>
      </c>
      <c r="F36" s="9" t="s">
        <v>1011</v>
      </c>
      <c r="G36" s="4" t="s">
        <v>866</v>
      </c>
      <c r="H36" s="4"/>
      <c r="I36" s="14" t="s">
        <v>868</v>
      </c>
      <c r="J36" s="2"/>
      <c r="K36" s="2"/>
      <c r="L36" s="2"/>
      <c r="M36" s="2"/>
      <c r="N36" s="2"/>
      <c r="O36" s="2"/>
      <c r="P36" s="2"/>
      <c r="Q36" s="2"/>
      <c r="R36" s="2"/>
      <c r="S36" s="2"/>
      <c r="T36" s="2"/>
      <c r="U36" s="2"/>
      <c r="V36" s="2"/>
      <c r="W36" s="2"/>
      <c r="X36" s="2"/>
      <c r="Y36" s="2"/>
      <c r="Z36" s="2"/>
    </row>
    <row r="37" ht="15.75" customHeight="1">
      <c r="A37" s="4" t="s">
        <v>1012</v>
      </c>
      <c r="B37" s="4" t="s">
        <v>40</v>
      </c>
      <c r="C37" s="4" t="s">
        <v>1013</v>
      </c>
      <c r="D37" s="4" t="s">
        <v>1014</v>
      </c>
      <c r="E37" s="4" t="s">
        <v>155</v>
      </c>
      <c r="F37" s="9" t="s">
        <v>1015</v>
      </c>
      <c r="G37" s="4" t="s">
        <v>866</v>
      </c>
      <c r="H37" s="4" t="s">
        <v>984</v>
      </c>
      <c r="I37" s="14" t="s">
        <v>868</v>
      </c>
      <c r="J37" s="2"/>
      <c r="K37" s="2"/>
      <c r="L37" s="2"/>
      <c r="M37" s="2"/>
      <c r="N37" s="2"/>
      <c r="O37" s="2"/>
      <c r="P37" s="2"/>
      <c r="Q37" s="2"/>
      <c r="R37" s="2"/>
      <c r="S37" s="2"/>
      <c r="T37" s="2"/>
      <c r="U37" s="2"/>
      <c r="V37" s="2"/>
      <c r="W37" s="2"/>
      <c r="X37" s="2"/>
      <c r="Y37" s="2"/>
      <c r="Z37" s="2"/>
    </row>
    <row r="38" ht="15.75" customHeight="1">
      <c r="A38" s="4" t="s">
        <v>1016</v>
      </c>
      <c r="B38" s="4" t="s">
        <v>40</v>
      </c>
      <c r="C38" s="4" t="s">
        <v>1017</v>
      </c>
      <c r="D38" s="4" t="s">
        <v>1018</v>
      </c>
      <c r="E38" s="4" t="s">
        <v>1019</v>
      </c>
      <c r="F38" s="9" t="s">
        <v>1020</v>
      </c>
      <c r="G38" s="4" t="s">
        <v>866</v>
      </c>
      <c r="H38" s="4"/>
      <c r="I38" s="14" t="s">
        <v>868</v>
      </c>
      <c r="J38" s="2"/>
      <c r="K38" s="2"/>
      <c r="L38" s="2"/>
      <c r="M38" s="2"/>
      <c r="N38" s="2"/>
      <c r="O38" s="2"/>
      <c r="P38" s="2"/>
      <c r="Q38" s="2"/>
      <c r="R38" s="2"/>
      <c r="S38" s="2"/>
      <c r="T38" s="2"/>
      <c r="U38" s="2"/>
      <c r="V38" s="2"/>
      <c r="W38" s="2"/>
      <c r="X38" s="2"/>
      <c r="Y38" s="2"/>
      <c r="Z38" s="2"/>
    </row>
    <row r="39" ht="15.75" customHeight="1">
      <c r="A39" s="4" t="s">
        <v>1021</v>
      </c>
      <c r="B39" s="4" t="s">
        <v>40</v>
      </c>
      <c r="C39" s="4" t="s">
        <v>1022</v>
      </c>
      <c r="D39" s="4" t="s">
        <v>1023</v>
      </c>
      <c r="E39" s="4" t="s">
        <v>155</v>
      </c>
      <c r="F39" s="9" t="s">
        <v>1024</v>
      </c>
      <c r="G39" s="4" t="s">
        <v>866</v>
      </c>
      <c r="H39" s="4" t="s">
        <v>1025</v>
      </c>
      <c r="I39" s="14" t="s">
        <v>868</v>
      </c>
      <c r="J39" s="2"/>
      <c r="K39" s="2"/>
      <c r="L39" s="2"/>
      <c r="M39" s="2"/>
      <c r="N39" s="2"/>
      <c r="O39" s="2"/>
      <c r="P39" s="2"/>
      <c r="Q39" s="2"/>
      <c r="R39" s="2"/>
      <c r="S39" s="2"/>
      <c r="T39" s="2"/>
      <c r="U39" s="2"/>
      <c r="V39" s="2"/>
      <c r="W39" s="2"/>
      <c r="X39" s="2"/>
      <c r="Y39" s="2"/>
      <c r="Z39" s="2"/>
    </row>
    <row r="40" ht="15.75" customHeight="1">
      <c r="A40" s="4" t="s">
        <v>1026</v>
      </c>
      <c r="B40" s="4" t="s">
        <v>40</v>
      </c>
      <c r="C40" s="4" t="s">
        <v>1027</v>
      </c>
      <c r="D40" s="4" t="s">
        <v>1028</v>
      </c>
      <c r="E40" s="4" t="s">
        <v>155</v>
      </c>
      <c r="F40" s="9" t="s">
        <v>1029</v>
      </c>
      <c r="G40" s="4" t="s">
        <v>866</v>
      </c>
      <c r="H40" s="4" t="s">
        <v>1025</v>
      </c>
      <c r="I40" s="14" t="s">
        <v>868</v>
      </c>
      <c r="J40" s="2"/>
      <c r="K40" s="2"/>
      <c r="L40" s="2"/>
      <c r="M40" s="2"/>
      <c r="N40" s="2"/>
      <c r="O40" s="2"/>
      <c r="P40" s="2"/>
      <c r="Q40" s="2"/>
      <c r="R40" s="2"/>
      <c r="S40" s="2"/>
      <c r="T40" s="2"/>
      <c r="U40" s="2"/>
      <c r="V40" s="2"/>
      <c r="W40" s="2"/>
      <c r="X40" s="2"/>
      <c r="Y40" s="2"/>
      <c r="Z40" s="2"/>
    </row>
    <row r="41" ht="15.75" customHeight="1">
      <c r="A41" s="4" t="s">
        <v>1030</v>
      </c>
      <c r="B41" s="4" t="s">
        <v>40</v>
      </c>
      <c r="C41" s="4" t="s">
        <v>753</v>
      </c>
      <c r="D41" s="4" t="s">
        <v>1031</v>
      </c>
      <c r="E41" s="4" t="s">
        <v>155</v>
      </c>
      <c r="F41" s="9" t="s">
        <v>1032</v>
      </c>
      <c r="G41" s="4" t="s">
        <v>866</v>
      </c>
      <c r="H41" s="4" t="s">
        <v>984</v>
      </c>
      <c r="I41" s="14" t="s">
        <v>868</v>
      </c>
      <c r="J41" s="2"/>
      <c r="K41" s="2"/>
      <c r="L41" s="2"/>
      <c r="M41" s="2"/>
      <c r="N41" s="2"/>
      <c r="O41" s="2"/>
      <c r="P41" s="2"/>
      <c r="Q41" s="2"/>
      <c r="R41" s="2"/>
      <c r="S41" s="2"/>
      <c r="T41" s="2"/>
      <c r="U41" s="2"/>
      <c r="V41" s="2"/>
      <c r="W41" s="2"/>
      <c r="X41" s="2"/>
      <c r="Y41" s="2"/>
      <c r="Z41" s="2"/>
    </row>
    <row r="42" ht="15.75" customHeight="1">
      <c r="A42" s="4" t="s">
        <v>1033</v>
      </c>
      <c r="B42" s="4" t="s">
        <v>41</v>
      </c>
      <c r="C42" s="4" t="s">
        <v>531</v>
      </c>
      <c r="D42" s="4" t="s">
        <v>1034</v>
      </c>
      <c r="E42" s="4" t="s">
        <v>1035</v>
      </c>
      <c r="F42" s="9" t="s">
        <v>1036</v>
      </c>
      <c r="G42" s="4" t="s">
        <v>866</v>
      </c>
      <c r="H42" s="4" t="s">
        <v>1037</v>
      </c>
      <c r="I42" s="14" t="s">
        <v>868</v>
      </c>
      <c r="J42" s="2"/>
      <c r="K42" s="2"/>
      <c r="L42" s="2"/>
      <c r="M42" s="2"/>
      <c r="N42" s="2"/>
      <c r="O42" s="2"/>
      <c r="P42" s="2"/>
      <c r="Q42" s="2"/>
      <c r="R42" s="2"/>
      <c r="S42" s="2"/>
      <c r="T42" s="2"/>
      <c r="U42" s="2"/>
      <c r="V42" s="2"/>
      <c r="W42" s="2"/>
      <c r="X42" s="2"/>
      <c r="Y42" s="2"/>
      <c r="Z42" s="2"/>
    </row>
    <row r="43" ht="15.75" customHeight="1">
      <c r="A43" s="4" t="s">
        <v>1038</v>
      </c>
      <c r="B43" s="4" t="s">
        <v>41</v>
      </c>
      <c r="C43" s="4" t="s">
        <v>1039</v>
      </c>
      <c r="D43" s="4" t="s">
        <v>1040</v>
      </c>
      <c r="E43" s="4" t="s">
        <v>155</v>
      </c>
      <c r="F43" s="9" t="s">
        <v>1041</v>
      </c>
      <c r="G43" s="4" t="s">
        <v>866</v>
      </c>
      <c r="H43" s="4" t="s">
        <v>984</v>
      </c>
      <c r="I43" s="14" t="s">
        <v>868</v>
      </c>
      <c r="J43" s="2"/>
      <c r="K43" s="2"/>
      <c r="L43" s="2"/>
      <c r="M43" s="2"/>
      <c r="N43" s="2"/>
      <c r="O43" s="2"/>
      <c r="P43" s="2"/>
      <c r="Q43" s="2"/>
      <c r="R43" s="2"/>
      <c r="S43" s="2"/>
      <c r="T43" s="2"/>
      <c r="U43" s="2"/>
      <c r="V43" s="2"/>
      <c r="W43" s="2"/>
      <c r="X43" s="2"/>
      <c r="Y43" s="2"/>
      <c r="Z43" s="2"/>
    </row>
    <row r="44" ht="15.75" customHeight="1">
      <c r="A44" s="4" t="s">
        <v>1042</v>
      </c>
      <c r="B44" s="4" t="s">
        <v>41</v>
      </c>
      <c r="C44" s="4" t="s">
        <v>1043</v>
      </c>
      <c r="D44" s="4" t="s">
        <v>1044</v>
      </c>
      <c r="E44" s="4" t="s">
        <v>988</v>
      </c>
      <c r="F44" s="9" t="s">
        <v>989</v>
      </c>
      <c r="G44" s="4" t="s">
        <v>866</v>
      </c>
      <c r="H44" s="4" t="s">
        <v>874</v>
      </c>
      <c r="I44" s="14" t="s">
        <v>868</v>
      </c>
      <c r="J44" s="2"/>
      <c r="K44" s="2"/>
      <c r="L44" s="2"/>
      <c r="M44" s="2"/>
      <c r="N44" s="2"/>
      <c r="O44" s="2"/>
      <c r="P44" s="2"/>
      <c r="Q44" s="2"/>
      <c r="R44" s="2"/>
      <c r="S44" s="2"/>
      <c r="T44" s="2"/>
      <c r="U44" s="2"/>
      <c r="V44" s="2"/>
      <c r="W44" s="2"/>
      <c r="X44" s="2"/>
      <c r="Y44" s="2"/>
      <c r="Z44" s="2"/>
    </row>
    <row r="45" ht="15.75" customHeight="1">
      <c r="A45" s="4" t="s">
        <v>1045</v>
      </c>
      <c r="B45" s="4" t="s">
        <v>41</v>
      </c>
      <c r="C45" s="4" t="s">
        <v>226</v>
      </c>
      <c r="D45" s="4" t="s">
        <v>1046</v>
      </c>
      <c r="E45" s="4" t="s">
        <v>993</v>
      </c>
      <c r="F45" s="9" t="s">
        <v>994</v>
      </c>
      <c r="G45" s="4" t="s">
        <v>866</v>
      </c>
      <c r="H45" s="4" t="s">
        <v>874</v>
      </c>
      <c r="I45" s="14" t="s">
        <v>868</v>
      </c>
      <c r="J45" s="2"/>
      <c r="K45" s="2"/>
      <c r="L45" s="2"/>
      <c r="M45" s="2"/>
      <c r="N45" s="2"/>
      <c r="O45" s="2"/>
      <c r="P45" s="2"/>
      <c r="Q45" s="2"/>
      <c r="R45" s="2"/>
      <c r="S45" s="2"/>
      <c r="T45" s="2"/>
      <c r="U45" s="2"/>
      <c r="V45" s="2"/>
      <c r="W45" s="2"/>
      <c r="X45" s="2"/>
      <c r="Y45" s="2"/>
      <c r="Z45" s="2"/>
    </row>
    <row r="46" ht="15.75" customHeight="1">
      <c r="A46" s="4" t="s">
        <v>1047</v>
      </c>
      <c r="B46" s="4" t="s">
        <v>41</v>
      </c>
      <c r="C46" s="4" t="s">
        <v>1048</v>
      </c>
      <c r="D46" s="4" t="s">
        <v>1049</v>
      </c>
      <c r="E46" s="4" t="s">
        <v>998</v>
      </c>
      <c r="F46" s="9" t="s">
        <v>999</v>
      </c>
      <c r="G46" s="4" t="s">
        <v>866</v>
      </c>
      <c r="H46" s="4" t="s">
        <v>874</v>
      </c>
      <c r="I46" s="14" t="s">
        <v>868</v>
      </c>
      <c r="J46" s="2"/>
      <c r="K46" s="2"/>
      <c r="L46" s="2"/>
      <c r="M46" s="2"/>
      <c r="N46" s="2"/>
      <c r="O46" s="2"/>
      <c r="P46" s="2"/>
      <c r="Q46" s="2"/>
      <c r="R46" s="2"/>
      <c r="S46" s="2"/>
      <c r="T46" s="2"/>
      <c r="U46" s="2"/>
      <c r="V46" s="2"/>
      <c r="W46" s="2"/>
      <c r="X46" s="2"/>
      <c r="Y46" s="2"/>
      <c r="Z46" s="2"/>
    </row>
    <row r="47" ht="15.75" customHeight="1">
      <c r="A47" s="4" t="s">
        <v>1050</v>
      </c>
      <c r="B47" s="4" t="s">
        <v>41</v>
      </c>
      <c r="C47" s="4" t="s">
        <v>1051</v>
      </c>
      <c r="D47" s="4" t="s">
        <v>1052</v>
      </c>
      <c r="E47" s="4" t="s">
        <v>155</v>
      </c>
      <c r="F47" s="9" t="s">
        <v>1053</v>
      </c>
      <c r="G47" s="4" t="s">
        <v>866</v>
      </c>
      <c r="H47" s="4" t="s">
        <v>984</v>
      </c>
      <c r="I47" s="14" t="s">
        <v>868</v>
      </c>
      <c r="J47" s="2"/>
      <c r="K47" s="2"/>
      <c r="L47" s="2"/>
      <c r="M47" s="2"/>
      <c r="N47" s="2"/>
      <c r="O47" s="2"/>
      <c r="P47" s="2"/>
      <c r="Q47" s="2"/>
      <c r="R47" s="2"/>
      <c r="S47" s="2"/>
      <c r="T47" s="2"/>
      <c r="U47" s="2"/>
      <c r="V47" s="2"/>
      <c r="W47" s="2"/>
      <c r="X47" s="2"/>
      <c r="Y47" s="2"/>
      <c r="Z47" s="2"/>
    </row>
    <row r="48" ht="15.75" customHeight="1">
      <c r="A48" s="4" t="s">
        <v>1054</v>
      </c>
      <c r="B48" s="4" t="s">
        <v>41</v>
      </c>
      <c r="C48" s="4" t="s">
        <v>1055</v>
      </c>
      <c r="D48" s="4" t="s">
        <v>1056</v>
      </c>
      <c r="E48" s="4" t="s">
        <v>1006</v>
      </c>
      <c r="F48" s="9" t="s">
        <v>1057</v>
      </c>
      <c r="G48" s="4" t="s">
        <v>866</v>
      </c>
      <c r="H48" s="4" t="s">
        <v>874</v>
      </c>
      <c r="I48" s="14" t="s">
        <v>868</v>
      </c>
      <c r="J48" s="2"/>
      <c r="K48" s="2"/>
      <c r="L48" s="2"/>
      <c r="M48" s="2"/>
      <c r="N48" s="2"/>
      <c r="O48" s="2"/>
      <c r="P48" s="2"/>
      <c r="Q48" s="2"/>
      <c r="R48" s="2"/>
      <c r="S48" s="2"/>
      <c r="T48" s="2"/>
      <c r="U48" s="2"/>
      <c r="V48" s="2"/>
      <c r="W48" s="2"/>
      <c r="X48" s="2"/>
      <c r="Y48" s="2"/>
      <c r="Z48" s="2"/>
    </row>
    <row r="49" ht="15.75" customHeight="1">
      <c r="A49" s="4" t="s">
        <v>1058</v>
      </c>
      <c r="B49" s="4" t="s">
        <v>41</v>
      </c>
      <c r="C49" s="4" t="s">
        <v>1059</v>
      </c>
      <c r="D49" s="4" t="s">
        <v>1060</v>
      </c>
      <c r="E49" s="4" t="s">
        <v>1061</v>
      </c>
      <c r="F49" s="9" t="s">
        <v>1062</v>
      </c>
      <c r="G49" s="4" t="s">
        <v>866</v>
      </c>
      <c r="H49" s="4" t="s">
        <v>885</v>
      </c>
      <c r="I49" s="14" t="s">
        <v>868</v>
      </c>
      <c r="J49" s="2"/>
      <c r="K49" s="2"/>
      <c r="L49" s="2"/>
      <c r="M49" s="2"/>
      <c r="N49" s="2"/>
      <c r="O49" s="2"/>
      <c r="P49" s="2"/>
      <c r="Q49" s="2"/>
      <c r="R49" s="2"/>
      <c r="S49" s="2"/>
      <c r="T49" s="2"/>
      <c r="U49" s="2"/>
      <c r="V49" s="2"/>
      <c r="W49" s="2"/>
      <c r="X49" s="2"/>
      <c r="Y49" s="2"/>
      <c r="Z49" s="2"/>
    </row>
    <row r="50" ht="15.75" customHeight="1">
      <c r="A50" s="4" t="s">
        <v>1063</v>
      </c>
      <c r="B50" s="4" t="s">
        <v>41</v>
      </c>
      <c r="C50" s="4" t="s">
        <v>1064</v>
      </c>
      <c r="D50" s="4" t="s">
        <v>1065</v>
      </c>
      <c r="E50" s="4" t="s">
        <v>155</v>
      </c>
      <c r="F50" s="9" t="s">
        <v>1066</v>
      </c>
      <c r="G50" s="4" t="s">
        <v>866</v>
      </c>
      <c r="H50" s="4" t="s">
        <v>984</v>
      </c>
      <c r="I50" s="14" t="s">
        <v>868</v>
      </c>
      <c r="J50" s="2"/>
      <c r="K50" s="2"/>
      <c r="L50" s="2"/>
      <c r="M50" s="2"/>
      <c r="N50" s="2"/>
      <c r="O50" s="2"/>
      <c r="P50" s="2"/>
      <c r="Q50" s="2"/>
      <c r="R50" s="2"/>
      <c r="S50" s="2"/>
      <c r="T50" s="2"/>
      <c r="U50" s="2"/>
      <c r="V50" s="2"/>
      <c r="W50" s="2"/>
      <c r="X50" s="2"/>
      <c r="Y50" s="2"/>
      <c r="Z50" s="2"/>
    </row>
    <row r="51" ht="15.75" customHeight="1">
      <c r="A51" s="4" t="s">
        <v>1067</v>
      </c>
      <c r="B51" s="4" t="s">
        <v>41</v>
      </c>
      <c r="C51" s="4" t="s">
        <v>1068</v>
      </c>
      <c r="D51" s="4" t="s">
        <v>1069</v>
      </c>
      <c r="E51" s="4" t="s">
        <v>1070</v>
      </c>
      <c r="F51" s="9" t="s">
        <v>1071</v>
      </c>
      <c r="G51" s="4" t="s">
        <v>866</v>
      </c>
      <c r="H51" s="4"/>
      <c r="I51" s="14" t="s">
        <v>868</v>
      </c>
      <c r="J51" s="2"/>
      <c r="K51" s="2"/>
      <c r="L51" s="2"/>
      <c r="M51" s="2"/>
      <c r="N51" s="2"/>
      <c r="O51" s="2"/>
      <c r="P51" s="2"/>
      <c r="Q51" s="2"/>
      <c r="R51" s="2"/>
      <c r="S51" s="2"/>
      <c r="T51" s="2"/>
      <c r="U51" s="2"/>
      <c r="V51" s="2"/>
      <c r="W51" s="2"/>
      <c r="X51" s="2"/>
      <c r="Y51" s="2"/>
      <c r="Z51" s="2"/>
    </row>
    <row r="52" ht="15.75" customHeight="1">
      <c r="A52" s="4" t="s">
        <v>1072</v>
      </c>
      <c r="B52" s="4" t="s">
        <v>41</v>
      </c>
      <c r="C52" s="4" t="s">
        <v>1073</v>
      </c>
      <c r="D52" s="4" t="s">
        <v>1074</v>
      </c>
      <c r="E52" s="4" t="s">
        <v>1075</v>
      </c>
      <c r="F52" s="9" t="s">
        <v>1076</v>
      </c>
      <c r="G52" s="4" t="s">
        <v>866</v>
      </c>
      <c r="H52" s="4"/>
      <c r="I52" s="14" t="s">
        <v>868</v>
      </c>
      <c r="J52" s="2"/>
      <c r="K52" s="2"/>
      <c r="L52" s="2"/>
      <c r="M52" s="2"/>
      <c r="N52" s="2"/>
      <c r="O52" s="2"/>
      <c r="P52" s="2"/>
      <c r="Q52" s="2"/>
      <c r="R52" s="2"/>
      <c r="S52" s="2"/>
      <c r="T52" s="2"/>
      <c r="U52" s="2"/>
      <c r="V52" s="2"/>
      <c r="W52" s="2"/>
      <c r="X52" s="2"/>
      <c r="Y52" s="2"/>
      <c r="Z52" s="2"/>
    </row>
    <row r="53" ht="15.75" customHeight="1">
      <c r="A53" s="4" t="s">
        <v>1077</v>
      </c>
      <c r="B53" s="4" t="s">
        <v>41</v>
      </c>
      <c r="C53" s="4" t="s">
        <v>1078</v>
      </c>
      <c r="D53" s="4" t="s">
        <v>1079</v>
      </c>
      <c r="E53" s="4" t="s">
        <v>155</v>
      </c>
      <c r="F53" s="9" t="s">
        <v>1080</v>
      </c>
      <c r="G53" s="4" t="s">
        <v>866</v>
      </c>
      <c r="H53" s="4" t="s">
        <v>1025</v>
      </c>
      <c r="I53" s="14" t="s">
        <v>868</v>
      </c>
      <c r="J53" s="2"/>
      <c r="K53" s="2"/>
      <c r="L53" s="2"/>
      <c r="M53" s="2"/>
      <c r="N53" s="2"/>
      <c r="O53" s="2"/>
      <c r="P53" s="2"/>
      <c r="Q53" s="2"/>
      <c r="R53" s="2"/>
      <c r="S53" s="2"/>
      <c r="T53" s="2"/>
      <c r="U53" s="2"/>
      <c r="V53" s="2"/>
      <c r="W53" s="2"/>
      <c r="X53" s="2"/>
      <c r="Y53" s="2"/>
      <c r="Z53" s="2"/>
    </row>
    <row r="54" ht="15.75" customHeight="1">
      <c r="A54" s="4" t="s">
        <v>1081</v>
      </c>
      <c r="B54" s="4" t="s">
        <v>41</v>
      </c>
      <c r="C54" s="4" t="s">
        <v>1082</v>
      </c>
      <c r="D54" s="4" t="s">
        <v>1083</v>
      </c>
      <c r="E54" s="4" t="s">
        <v>155</v>
      </c>
      <c r="F54" s="9" t="s">
        <v>1084</v>
      </c>
      <c r="G54" s="4" t="s">
        <v>866</v>
      </c>
      <c r="H54" s="4" t="s">
        <v>1025</v>
      </c>
      <c r="I54" s="14" t="s">
        <v>868</v>
      </c>
      <c r="J54" s="2"/>
      <c r="K54" s="2"/>
      <c r="L54" s="2"/>
      <c r="M54" s="2"/>
      <c r="N54" s="2"/>
      <c r="O54" s="2"/>
      <c r="P54" s="2"/>
      <c r="Q54" s="2"/>
      <c r="R54" s="2"/>
      <c r="S54" s="2"/>
      <c r="T54" s="2"/>
      <c r="U54" s="2"/>
      <c r="V54" s="2"/>
      <c r="W54" s="2"/>
      <c r="X54" s="2"/>
      <c r="Y54" s="2"/>
      <c r="Z54" s="2"/>
    </row>
    <row r="55" ht="15.75" customHeight="1">
      <c r="A55" s="4" t="s">
        <v>1085</v>
      </c>
      <c r="B55" s="4" t="s">
        <v>41</v>
      </c>
      <c r="C55" s="4" t="s">
        <v>1086</v>
      </c>
      <c r="D55" s="4" t="s">
        <v>1087</v>
      </c>
      <c r="E55" s="4" t="s">
        <v>155</v>
      </c>
      <c r="F55" s="9" t="s">
        <v>1088</v>
      </c>
      <c r="G55" s="4" t="s">
        <v>866</v>
      </c>
      <c r="H55" s="4" t="s">
        <v>984</v>
      </c>
      <c r="I55" s="14" t="s">
        <v>868</v>
      </c>
      <c r="J55" s="2"/>
      <c r="K55" s="2"/>
      <c r="L55" s="2"/>
      <c r="M55" s="2"/>
      <c r="N55" s="2"/>
      <c r="O55" s="2"/>
      <c r="P55" s="2"/>
      <c r="Q55" s="2"/>
      <c r="R55" s="2"/>
      <c r="S55" s="2"/>
      <c r="T55" s="2"/>
      <c r="U55" s="2"/>
      <c r="V55" s="2"/>
      <c r="W55" s="2"/>
      <c r="X55" s="2"/>
      <c r="Y55" s="2"/>
      <c r="Z55" s="2"/>
    </row>
    <row r="56" ht="15.75" customHeight="1">
      <c r="A56" s="4" t="s">
        <v>1089</v>
      </c>
      <c r="B56" s="4" t="s">
        <v>41</v>
      </c>
      <c r="C56" s="4" t="s">
        <v>1090</v>
      </c>
      <c r="D56" s="4" t="s">
        <v>1091</v>
      </c>
      <c r="E56" s="4" t="s">
        <v>155</v>
      </c>
      <c r="F56" s="9" t="s">
        <v>1092</v>
      </c>
      <c r="G56" s="4" t="s">
        <v>866</v>
      </c>
      <c r="H56" s="4" t="s">
        <v>984</v>
      </c>
      <c r="I56" s="14" t="s">
        <v>868</v>
      </c>
      <c r="J56" s="2"/>
      <c r="K56" s="2"/>
      <c r="L56" s="2"/>
      <c r="M56" s="2"/>
      <c r="N56" s="2"/>
      <c r="O56" s="2"/>
      <c r="P56" s="2"/>
      <c r="Q56" s="2"/>
      <c r="R56" s="2"/>
      <c r="S56" s="2"/>
      <c r="T56" s="2"/>
      <c r="U56" s="2"/>
      <c r="V56" s="2"/>
      <c r="W56" s="2"/>
      <c r="X56" s="2"/>
      <c r="Y56" s="2"/>
      <c r="Z56" s="2"/>
    </row>
    <row r="57" ht="15.75" customHeight="1">
      <c r="A57" s="4" t="s">
        <v>1093</v>
      </c>
      <c r="B57" s="4" t="s">
        <v>41</v>
      </c>
      <c r="C57" s="4" t="s">
        <v>1094</v>
      </c>
      <c r="D57" s="4" t="s">
        <v>1095</v>
      </c>
      <c r="E57" s="4" t="s">
        <v>1096</v>
      </c>
      <c r="F57" s="9" t="s">
        <v>1097</v>
      </c>
      <c r="G57" s="4" t="s">
        <v>866</v>
      </c>
      <c r="H57" s="4"/>
      <c r="I57" s="14" t="s">
        <v>868</v>
      </c>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I$57"/>
  <dataValidations>
    <dataValidation type="list" allowBlank="1" sqref="I2:I57">
      <formula1>"Manter descartado,Reincluir"</formula1>
    </dataValidation>
  </dataValidations>
  <printOptions/>
  <pageMargins bottom="1.0" footer="0.0" header="0.0" left="0.75" right="0.75" top="1.0"/>
  <pageSetup orientation="landscape"/>
  <drawing r:id="rId1"/>
</worksheet>
</file>