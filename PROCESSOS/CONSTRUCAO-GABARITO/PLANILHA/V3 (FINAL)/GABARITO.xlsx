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genda" sheetId="1" state="visible" r:id="rId1"/>
    <sheet xmlns:r="http://schemas.openxmlformats.org/officeDocument/2006/relationships" name="Resumo" sheetId="2" state="visible" r:id="rId2"/>
    <sheet xmlns:r="http://schemas.openxmlformats.org/officeDocument/2006/relationships" name="Gabarito" sheetId="3" state="visible" r:id="rId3"/>
    <sheet xmlns:r="http://schemas.openxmlformats.org/officeDocument/2006/relationships" name="Candidatos" sheetId="4" state="visible" r:id="rId4"/>
    <sheet xmlns:r="http://schemas.openxmlformats.org/officeDocument/2006/relationships" name="Descartados" sheetId="5" state="visible" r:id="rId5"/>
  </sheets>
  <definedNames>
    <definedName name="_xlnm._FilterDatabase" localSheetId="2" hidden="1">'Gabarito'!$A$1:$I$47</definedName>
    <definedName name="_xlnm._FilterDatabase" localSheetId="3" hidden="1">'Candidatos'!$A$1:$P$145</definedName>
    <definedName name="_xlnm._FilterDatabase" localSheetId="4" hidden="1">'Descartados'!$A$1:$I$57</definedName>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Arial"/>
      <b val="1"/>
      <color theme="1"/>
      <sz val="13"/>
    </font>
    <font>
      <name val="Calibri"/>
      <color theme="1"/>
      <sz val="11"/>
    </font>
    <font>
      <name val="Arial"/>
      <b val="1"/>
      <color theme="1"/>
      <sz val="10"/>
    </font>
    <font>
      <name val="Arial"/>
      <color theme="1"/>
      <sz val="10"/>
    </font>
    <font>
      <name val="Arial"/>
      <b val="1"/>
      <color rgb="FFFFFFFF"/>
      <sz val="10"/>
    </font>
    <font>
      <name val="Courier New"/>
      <color theme="1"/>
      <sz val="9"/>
    </font>
    <font>
      <name val="Arial"/>
      <color rgb="FF0000FF"/>
      <sz val="10"/>
    </font>
    <font>
      <name val="Arial"/>
      <color rgb="FF000000"/>
      <sz val="10"/>
    </font>
    <font>
      <name val="Arial"/>
      <b val="1"/>
      <color rgb="00FFFFFF"/>
      <sz val="10"/>
    </font>
    <font>
      <name val="Arial"/>
      <sz val="10"/>
    </font>
  </fonts>
  <fills count="5">
    <fill>
      <patternFill/>
    </fill>
    <fill>
      <patternFill patternType="lightGray"/>
    </fill>
    <fill>
      <patternFill patternType="solid">
        <fgColor rgb="FF2F4F6F"/>
        <bgColor rgb="FF2F4F6F"/>
      </patternFill>
    </fill>
    <fill>
      <patternFill patternType="solid">
        <fgColor rgb="FFFFF9DB"/>
        <bgColor rgb="FFFFF9DB"/>
      </patternFill>
    </fill>
    <fill>
      <patternFill patternType="solid">
        <fgColor rgb="002F4F6F"/>
      </patternFill>
    </fill>
  </fills>
  <borders count="2">
    <border/>
    <border>
      <left/>
      <right/>
      <top/>
      <bottom/>
    </border>
  </borders>
  <cellStyleXfs count="1">
    <xf numFmtId="0" fontId="0" fillId="0" borderId="0"/>
  </cellStyleXfs>
  <cellXfs count="20">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4" fillId="0" borderId="0" pivotButton="0" quotePrefix="0" xfId="0"/>
    <xf numFmtId="0" fontId="3" fillId="0" borderId="0" pivotButton="0" quotePrefix="0" xfId="0"/>
    <xf numFmtId="0" fontId="4" fillId="0" borderId="0" applyAlignment="1" pivotButton="0" quotePrefix="0" xfId="0">
      <alignment vertical="center" wrapText="1"/>
    </xf>
    <xf numFmtId="0" fontId="6" fillId="0" borderId="0"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4" fillId="3" borderId="1" applyAlignment="1" pivotButton="0" quotePrefix="0" xfId="0">
      <alignment vertical="top" wrapText="1"/>
    </xf>
    <xf numFmtId="0" fontId="4" fillId="3" borderId="1" applyAlignment="1" pivotButton="0" quotePrefix="0" xfId="0">
      <alignment vertical="top" wrapText="1"/>
    </xf>
    <xf numFmtId="0" fontId="8" fillId="3" borderId="1" applyAlignment="1" pivotButton="0" quotePrefix="0" xfId="0">
      <alignment vertical="top" wrapText="1"/>
    </xf>
    <xf numFmtId="0" fontId="0" fillId="0" borderId="0" pivotButton="0" quotePrefix="0" xfId="0"/>
    <xf numFmtId="0" fontId="9" fillId="4" borderId="0" applyAlignment="1" pivotButton="0" quotePrefix="0" xfId="0">
      <alignment vertical="center" wrapText="1"/>
    </xf>
    <xf numFmtId="0" fontId="10" fillId="0" borderId="0" applyAlignment="1" pivotButton="0" quotePrefix="0" xfId="0">
      <alignment vertical="top" wrapText="1"/>
    </xf>
    <xf numFmtId="0" fontId="10" fillId="3"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2"/>
  <sheetViews>
    <sheetView workbookViewId="0">
      <selection activeCell="A1" sqref="A1"/>
    </sheetView>
  </sheetViews>
  <sheetFormatPr baseColWidth="8" defaultColWidth="14.43" defaultRowHeight="15" customHeight="0"/>
  <cols>
    <col width="24" customWidth="1" style="16" min="1" max="1"/>
    <col width="110" customWidth="1" style="16" min="2" max="2"/>
    <col width="8.710000000000001" customWidth="1" style="16" min="3" max="6"/>
  </cols>
  <sheetData>
    <row r="1">
      <c r="A1" s="1" t="inlineStr">
        <is>
          <t>Gabarito (ground-truth)</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3" t="inlineStr">
        <is>
          <t>Origem</t>
        </is>
      </c>
      <c r="B3" s="5" t="inlineStr">
        <is>
          <t>Programas da CBSA na pasta ORIGINAL do repositório da base de dados (commit e22475691524ef72a92ee77f7040233e098ab1b9, ijmitch/cics-banking-sample-application-cbsa). Números de linha referem-se aos arquivos do ORIGINAL.</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 t="inlineStr">
        <is>
          <t>Arquivos (SHA-256)</t>
        </is>
      </c>
      <c r="B4" s="5" t="inlineStr">
        <is>
          <t>DBCRFUN.cbl: 632917d17138331d540b05823c840eb204675ddb79ac9eac0d8d6d847982056f
XFRFUN.cbl: 9c642ade5e1211b77b7c264eaea18f8cf88cb035af32ed55c66278482e51013e
BNK1CRA.cbl: 061d73de30c1a3635db44b1f9dc8faebc71ea8e024fee48db499ad1ecda4ab97
BNK1TFN.cbl: 8bbc799b498a756a367ccf6dfb52d1d15579fe72332efbb86906e729edf519e2</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 t="inlineStr">
        <is>
          <t>Como foi gerado</t>
        </is>
      </c>
      <c r="B5" s="5" t="inlineStr">
        <is>
          <t>Extração automática (script monta_planilha.py). Cada bloco de comentário da PROCEDURE DIVISION é pareado ao código que o segue, até o próximo comentário. O trecho exibido é limitado a 50 linhas, mas o filtro avalia o bloco inteiro. Quando o comentário vem logo após uma linha IF, ELSE, WHEN ou EVALUATE, essa linha (cabeçalho) é usada para reter o par se o corpo não tiver decisão nem falha, e aparece com o prefixo [cab.].</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 t="inlineStr">
        <is>
          <t>Filtro (E4, seção 1.3)</t>
        </is>
      </c>
      <c r="B6" s="5" t="inlineStr">
        <is>
          <t>Retido: trecho com IF, EVALUATE ou WHEN, ou com tratamento de falha (ABEND, SQLCODE, HANDLE, DFHRESP, EIBRESP, EIBRCODE). O filtro é sintático: trechos de infraestrutura pura (rollback, ABEND de DB2/VSAM, storm drain) também aparecem aqui, porque contêm essas palavras-chave; a exclusão semântica é feita na revisão manual (coluna Categoria), não pelo script. Os demais (sem decisão nem falha) ficam na aba Descartados, para que o critério seja auditável.</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 t="inlineStr">
        <is>
          <t>O que preencher</t>
        </is>
      </c>
      <c r="B7" s="5" t="inlineStr">
        <is>
          <t>Aba Candidatos, colunas J a M (fundo amarelo): Regra de negócio extraída, Categoria, Status e Observação, mesmas colunas usadas na revisão manual do DBCRFUN. Colunas O e P (amarelas): ID atômico (sub-regra), preenchido com a, b, c apenas quando o bloco contiver mais de uma regra, e Comentário defasado? (Sim ou Não), preenchido em toda linha revisada. Na aba Descartados, coluna I.</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 t="inlineStr">
        <is>
          <t>Valores da revisão</t>
        </is>
      </c>
      <c r="B8" s="5" t="inlineStr">
        <is>
          <t>Categoria: regra de negócio, infraestrutura (excluída), interface (excluída: fluxo de teclas e telas), sem comentário próprio (excluída: regra que nenhum comentário descreve) ou a discutir (lista suspensa). Status: A validar ou Validado. Comentário defasado?: Sim = contradiz o código ou descreve algo que ele não faz; Incompleto = coerente, mas não cobre a regra toda; Não = coerente e completo. Em Descartados: Manter descartado ou Reincluir.</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 t="inlineStr">
        <is>
          <t>Alertas</t>
        </is>
      </c>
      <c r="B9" s="5" t="inlineStr">
        <is>
          <t>possível código desativado: o comentário parece uma instrução COBOL comentada. comentário curto: até 3 palavras. trecho truncado: o código do par passa do limite de linhas exibidas; a coluna Linhas do código mostra o intervalo completo e a classificação considerou todo o bloco. comentários adjacentes fundidos: o bloco seguinte de comentário foi unido porque o trecho entre eles não tinha código ativo. decisão no cabeçalho anterior ao comentário: o par foi retido pela linha IF/ELSE/WHEN/EVALUATE que precede o comentário (linhas indicadas; também no código da linha anterior da planilha). comentário delega lógica (PERFORM): o trecho só chama outro parágrafo; a regra pode estar no parágrafo executado. contém GO TO: há desvio incondicional no trecho. Qtd decisões (coluna N): total de IF, EVALUATE e WHEN do bloco inteiro (+1 quando o par foi retido pelo cabeçalho); é uma contagem, não a profundidade de aninhamento. comentário menciona condição (aba Descartados): o comentário descreve uma condição, mas o trecho seguinte é só ação; a decisão pode estar antes no fonte.</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 t="inlineStr">
        <is>
          <t>Limitações</t>
        </is>
      </c>
      <c r="B10" s="5" t="inlineStr">
        <is>
          <t>A triagem é heurística e não substitui a revisão dupla. Comentários de cabeçalho (antes da PROCEDURE DIVISION) não entram. Regras sem comentário associado não geram par. Linhas de depuração (indicador D) aparecem com o prefixo [D]. O tipo (Decisão, Falha, Decisão e falha) é atribuído ao bloco inteiro, não ao comentário isolado. O cabeçalho IF/ELSE que precede um comentário continua também no código do par anterior (cada linha de código pertence a um único par, exceto o cabeçalho exibido como contexto).</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 t="inlineStr">
        <is>
          <t>Rascunho (assistente)</t>
        </is>
      </c>
      <c r="B12" s="5" t="inlineStr">
        <is>
          <t>Colunas J, K e M preenchidas como rascunho em fonte azul; a Observação inicia por '[Rascunho]'. Status mantido em 'A validar'. Ao conferir uma linha no fonte, ajustar o texto, trocar a fonte para preta e atualizar o Status. Linhas com a categoria 'a discutir' ou 'infraestrutura (excluída)' sem regra em J são sugestões de classificação, não decisões.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 t="inlineStr">
        <is>
          <t>Reincluídas</t>
        </is>
      </c>
      <c r="B13" s="5" t="inlineStr">
        <is>
          <t>Blocos marcados como 'Reincluir' na aba Descartados são registrados ao final da aba Candidatos, com o mesmo ID, Tipo 'Reincluído' e Estruturas 'procedural'. Na aba Resumo, deixam de ser contados como descartados e passam a contar como candidatos retidos (a soma de Decisão, Falha e Decisão e falha fica menor que Candidatos retidos pelo número de reincluídas).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 t="inlineStr">
        <is>
          <t>Revisão do orientador</t>
        </is>
      </c>
      <c r="B14" s="5" t="inlineStr">
        <is>
          <t>Feita nas reuniões semanais com o orientador; as decisões de cada reunião ficam registradas na pauta (documento 'Pontos para a reunião com o orientador — gabarito'). Registro de 16/10/2026: teclas de função como interface (excluídas); ordem de atualização das contas, gravação em PROCTRAN e falha técnica de DB2 como infraestrutura; regra afetada por defeito do código retirada e documentada (BNK1CRA-040). Critério de regra de negócio definido na reunião: é o que a área de negócio (gerente ou cliente do banco) entende; detalhe de código fica fora. Casos sem certeza sobre o comportamento são excluídos (amostra menor, com 100% de certeza). Regras que nenhum comentário descreve foram retiradas (ponto 5). Programas confirmados: DBCRFUN, XFRFUN, BNK1CRA e BNK1TFN; teste piloto com DBCRFUN e BNK1CRA.</t>
        </is>
      </c>
    </row>
    <row r="15">
      <c r="A15" s="3" t="inlineStr">
        <is>
          <t>Exemplo de regra atômica</t>
        </is>
      </c>
      <c r="B15" s="5" t="inlineStr">
        <is>
          <t>Ilustrativo, não faz parte do gabarito: "Se o valor solicitado for um débito e o saldo disponível for insuficiente, a solicitação é negada." (uma condição e uma consequência por regra)</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s="16">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s="16">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s="16">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s="16">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s="16">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s="1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s="16">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s="16">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s="1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s="16">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s="16">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s="16">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s="1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s="1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s="1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s="1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s="1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s="1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s="1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s="1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s="1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s="1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s="1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s="1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s="1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s="1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s="1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s="1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s="1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s="1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s="1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s="1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s="1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s="1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s="1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s="1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s="1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s="1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s="1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s="1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s="1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s="1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s="1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s="1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s="1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s="1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s="1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s="1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s="1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s="1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s="1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s="1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s="1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s="1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s="1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s="1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s="1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s="1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s="1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s="1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s="1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s="1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s="1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s="1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s="1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s="1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s="1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s="1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s="1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s="1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s="1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s="1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s="1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s="1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s="1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s="1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s="1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s="1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s="1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s="1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s="1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s="1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s="1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s="1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s="1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s="1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s="1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s="1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s="1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s="1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s="1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s="1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s="1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s="1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s="1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s="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s="1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s="1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s="1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s="1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s="1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s="1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s="1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s="1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s="1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s="1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s="1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s="1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s="1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s="1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s="1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s="1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s="1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s="1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s="1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s="1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s="1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s="1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s="1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s="1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s="1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s="1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s="1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s="1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s="1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s="1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s="1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s="1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s="1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s="1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s="1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s="1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s="1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s="1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s="1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s="1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s="1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s="1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s="1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s="1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s="1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s="1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s="1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s="1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s="1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s="1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s="1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s="1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s="1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s="1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s="1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s="1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s="1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s="1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s="1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s="1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s="1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s="1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s="1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s="1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s="1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s="1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s="1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s="1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s="1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s="1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s="1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s="1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s="1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s="1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s="1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s="1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s="1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s="1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s="1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s="1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s="1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s="1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s="1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s="1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s="1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s="1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s="1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s="1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s="1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s="1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s="1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s="1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s="1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s="1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s="1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s="1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s="1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s="1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s="1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s="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s="1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s="1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s="1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s="1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s="1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s="1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s="1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s="1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s="1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s="1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s="1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s="1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s="1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s="1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s="1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s="1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s="1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s="1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s="1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s="1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s="1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s="1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s="1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s="1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s="1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s="1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s="1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s="1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s="1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s="1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s="1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s="1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s="1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s="1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s="1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s="1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s="1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s="1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s="1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s="1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s="1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s="1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s="1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s="1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s="1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s="1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s="1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s="1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s="1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s="1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s="1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s="1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s="1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s="1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s="1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s="1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s="1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s="1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s="1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s="1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s="1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s="1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s="1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s="1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s="1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s="1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s="1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s="1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s="1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s="1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s="1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s="1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s="1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s="1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s="1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s="1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s="1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s="1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s="1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s="1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s="1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s="1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s="1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s="1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s="1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s="1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s="1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s="1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s="1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s="1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s="1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s="1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s="1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s="1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s="1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s="1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s="1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s="1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s="1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s="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s="1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s="1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s="1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s="1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s="1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s="1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s="1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s="1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s="1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s="1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s="1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s="1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s="1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s="1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s="1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s="1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s="1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s="1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s="1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s="1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s="1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s="1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s="1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s="1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s="1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s="1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s="1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s="1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s="1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s="1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s="1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s="1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s="1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s="1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s="1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s="1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s="1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s="1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s="1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s="1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s="1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s="1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s="1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s="1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s="1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s="1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s="1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s="1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s="1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s="1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s="1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s="1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s="1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s="1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s="1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s="1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s="1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s="1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s="1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s="1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s="1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s="1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s="1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s="1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s="1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s="1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s="1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s="1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s="1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s="1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s="1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s="1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s="1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s="1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s="1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s="1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s="1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s="1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s="1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s="1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s="1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s="1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s="1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s="1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s="1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s="1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s="1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s="1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s="1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s="1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s="1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s="1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s="1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s="1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s="1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s="1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s="1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s="1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s="1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s="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s="1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s="1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s="1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s="1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s="1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s="1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s="1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s="1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s="1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s="1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s="1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s="1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s="1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s="1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s="1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s="1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s="1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s="1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s="1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s="1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s="1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s="1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s="1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s="1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s="1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s="1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s="1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s="1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s="1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s="1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s="1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s="1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s="1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s="1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s="1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s="1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s="1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s="1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s="1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s="1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s="1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s="1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s="1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s="1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s="1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s="1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s="1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s="1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s="1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s="1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s="1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s="1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s="1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s="1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s="1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s="1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s="1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s="1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s="1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s="1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s="1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s="1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s="1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s="1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s="1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s="1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s="1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s="1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s="1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s="1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s="1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s="1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s="1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s="1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s="1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s="1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s="1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s="1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s="1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s="1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s="1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s="1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s="1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s="1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s="1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s="1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s="1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s="1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s="1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s="1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s="1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s="1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s="1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s="1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s="1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s="1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s="1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s="1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s="1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s="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s="1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s="1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s="1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s="1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s="1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s="1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s="1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s="1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s="1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s="1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s="1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s="1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s="1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s="1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s="1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s="1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s="1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s="1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s="1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s="1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s="1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s="1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s="1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s="1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s="1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s="1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s="1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s="1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s="1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s="1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s="1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s="1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s="1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s="1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s="1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s="1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s="1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s="1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s="1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s="1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s="1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s="1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s="1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s="1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s="1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s="1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s="1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s="1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s="1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s="1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s="1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s="1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s="1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s="1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s="1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s="1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s="1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s="1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s="1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s="1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s="1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s="1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s="1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s="1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s="1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s="1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s="1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s="1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s="1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s="1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s="1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s="1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s="1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s="1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s="1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s="1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s="1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s="1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s="1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s="1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s="1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s="1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s="1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s="1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s="1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s="1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s="1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s="1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s="1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s="1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s="1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s="1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s="1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s="1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s="1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s="1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s="1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s="1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s="1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s="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s="1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s="1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s="1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s="1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s="1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s="1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s="1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s="1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s="1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s="1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s="1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s="1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s="1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s="1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s="1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s="1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s="1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s="1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s="1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s="1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s="1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s="1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s="1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s="1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s="1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s="1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s="1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s="1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s="1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s="1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s="1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s="1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s="1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s="1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s="1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s="1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s="1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s="1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s="1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s="1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s="1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s="1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s="1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s="1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s="1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s="1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s="1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s="1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s="1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s="1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s="1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s="1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s="1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s="1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s="1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s="1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s="1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s="1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s="1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s="1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s="1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s="1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s="1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s="1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s="1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s="1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s="1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s="1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s="1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s="1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s="1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s="1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s="1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s="1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s="1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s="1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s="1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s="1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s="1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s="1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s="1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s="1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s="1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s="1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s="1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s="1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s="1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s="1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s="1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s="1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s="1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s="1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s="1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s="1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s="1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s="1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s="1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s="1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s="1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s="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s="1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s="1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s="1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s="1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s="1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s="1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s="1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s="1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s="1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s="1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s="1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s="1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s="1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s="1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s="1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s="1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s="1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s="1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s="1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s="1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s="1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s="1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s="1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s="1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s="1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s="1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s="1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s="1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s="1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s="1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s="1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s="1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s="1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s="1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s="1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s="1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s="1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s="1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s="1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s="1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s="1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s="1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s="1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s="1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s="1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s="1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s="1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s="1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s="1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s="1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s="1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s="1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s="1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s="1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s="1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s="1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s="1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s="1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s="1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s="1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s="1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s="1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s="1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s="1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s="1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s="1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s="1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s="1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s="1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s="1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s="1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s="1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s="1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s="1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s="1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s="1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s="1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s="1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s="1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s="1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s="1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s="1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s="1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s="1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s="1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s="1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s="1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s="1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s="1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s="1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s="1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s="1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s="1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s="1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s="1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s="1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s="1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s="1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s="1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s="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s="1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s="1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s="1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s="1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s="1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s="1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s="1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s="1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s="1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s="1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s="1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s="1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s="1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s="1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s="1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s="1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s="1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s="1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s="1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s="1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s="1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s="1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s="1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s="1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s="1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s="1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s="1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s="1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s="1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s="1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s="1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s="1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s="1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s="1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s="1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s="1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s="1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s="1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s="1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s="1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s="1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s="1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s="1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s="1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s="1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s="1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s="1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s="1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s="1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s="1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s="1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s="1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s="1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s="1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s="1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s="1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s="1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s="1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s="1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s="1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s="1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s="1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s="1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s="1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s="1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s="1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s="1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s="1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s="1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s="1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s="1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s="1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s="1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s="1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s="1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s="1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s="1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s="1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s="1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s="1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s="1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s="1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s="1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s="1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s="1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s="1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s="1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s="1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s="1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s="1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s="1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s="1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s="1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s="1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s="1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s="1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s="1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s="1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s="1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s="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s="1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s="1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s="1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s="1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s="1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s="1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s="1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s="1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s="1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s="1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s="1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s="1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s="1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s="1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s="1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s="1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s="1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s="1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s="1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s="1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s="1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s="1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s="1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s="1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s="1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s="1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s="1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s="1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s="1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s="1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s="1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s="1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s="1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s="1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s="1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s="1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s="1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s="1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s="1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s="1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s="1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s="1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s="1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s="1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s="1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s="1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s="1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s="1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s="1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s="1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s="1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s="1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s="1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s="1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s="1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s="1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s="1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s="1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s="1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s="1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s="1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s="1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s="1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s="1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s="1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s="1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s="1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s="1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s="1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s="1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s="1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s="1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s="1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s="1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s="1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s="1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s="1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s="1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s="1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s="1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s="1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s="1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s="1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s="1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c r="A1002" s="2" t="inlineStr">
        <is>
          <t>Gabarito (aba)</t>
        </is>
      </c>
      <c r="B1002" s="2" t="inlineStr">
        <is>
          <t>Gerada em 16/10/2026 por gera_gabarito.py: 46 regras atômicas, de 33 pares validados como regra de negócio. Regras numeradas na coluna 'Regra de negócio extraída' viram linhas próprias (ID do par seguido de .1, .2, ...). Pares fora do gabarito, além da infraestrutura: 14 interface (excluída) / Validado; 4 sem comentário próprio (excluída) / Validado. Recriar a aba sempre que a revisão mudar.</t>
        </is>
      </c>
    </row>
  </sheetData>
  <mergeCells count="1">
    <mergeCell ref="A1:B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0"/>
  <cols>
    <col width="17.86" customWidth="1" style="16" min="1" max="1"/>
    <col width="13.14" customWidth="1" style="16" min="2" max="2"/>
    <col width="14" customWidth="1" style="16" min="3" max="3"/>
    <col width="14.14" customWidth="1" style="16" min="4" max="4"/>
    <col width="10" customWidth="1" style="16" min="5" max="6"/>
    <col width="12" customWidth="1" style="16" min="7" max="7"/>
    <col width="11" customWidth="1" style="16" min="8" max="8"/>
    <col width="13" customWidth="1" style="16" min="9" max="9"/>
    <col width="16" customWidth="1" style="16" min="10" max="10"/>
    <col width="11" customWidth="1" style="16" min="11" max="13"/>
    <col width="13" customWidth="1" style="16" min="14" max="14"/>
    <col width="14" customWidth="1" style="16" min="15" max="15"/>
    <col width="13" customWidth="1" style="16" min="16" max="16"/>
    <col width="13" customWidth="1" style="16" min="17" max="17"/>
    <col width="15" customWidth="1" style="16" min="18" max="18"/>
  </cols>
  <sheetData>
    <row r="1" ht="45" customHeight="1" s="16">
      <c r="A1" s="6" t="inlineStr">
        <is>
          <t>Programa</t>
        </is>
      </c>
      <c r="B1" s="6" t="inlineStr">
        <is>
          <t>Blocos com texto</t>
        </is>
      </c>
      <c r="C1" s="6" t="inlineStr">
        <is>
          <t>Candidatos retidos</t>
        </is>
      </c>
      <c r="D1" s="6" t="inlineStr">
        <is>
          <t>Descartados</t>
        </is>
      </c>
      <c r="E1" s="6" t="inlineStr">
        <is>
          <t>Decisão</t>
        </is>
      </c>
      <c r="F1" s="6" t="inlineStr">
        <is>
          <t>Falha</t>
        </is>
      </c>
      <c r="G1" s="6" t="inlineStr">
        <is>
          <t>Decisão e falha</t>
        </is>
      </c>
      <c r="H1" s="6" t="inlineStr">
        <is>
          <t>Com alertas</t>
        </is>
      </c>
      <c r="I1" s="6" t="inlineStr">
        <is>
          <t>Regra de negócio</t>
        </is>
      </c>
      <c r="J1" s="6" t="inlineStr">
        <is>
          <t>Infraestrutura (excluída)</t>
        </is>
      </c>
      <c r="K1" s="6" t="inlineStr">
        <is>
          <t>A discutir</t>
        </is>
      </c>
      <c r="L1" s="6" t="inlineStr">
        <is>
          <t>Validados</t>
        </is>
      </c>
      <c r="M1" s="6" t="inlineStr">
        <is>
          <t>Pendentes</t>
        </is>
      </c>
      <c r="N1" s="6" t="inlineStr">
        <is>
          <t>Defasagem avaliada (regras)</t>
        </is>
      </c>
      <c r="O1" s="6" t="inlineStr">
        <is>
          <t>Comentário defasado (Sim)</t>
        </is>
      </c>
      <c r="P1" s="6" t="inlineStr">
        <is>
          <t>Comentário incompleto</t>
        </is>
      </c>
      <c r="Q1" s="6" t="inlineStr">
        <is>
          <t>Interface (excluída)</t>
        </is>
      </c>
      <c r="R1" s="6" t="inlineStr">
        <is>
          <t>Sem comentário próprio (excluída)</t>
        </is>
      </c>
      <c r="S1" s="2" t="n"/>
      <c r="T1" s="2" t="n"/>
      <c r="U1" s="2" t="n"/>
      <c r="V1" s="2" t="n"/>
      <c r="W1" s="2" t="n"/>
      <c r="X1" s="2" t="n"/>
      <c r="Y1" s="2" t="n"/>
      <c r="Z1" s="2" t="n"/>
    </row>
    <row r="2">
      <c r="A2" s="7" t="inlineStr">
        <is>
          <t>DBCRFUN</t>
        </is>
      </c>
      <c r="B2" s="7">
        <f>C2+D2</f>
        <v/>
      </c>
      <c r="C2" s="7">
        <f>COUNTIF(Candidatos!$B:$B,$A2)</f>
        <v/>
      </c>
      <c r="D2" s="7">
        <f>COUNTIFS(Descartados!$B:$B,$A2,Descartados!$I:$I,"&lt;&gt;Reincluir")</f>
        <v/>
      </c>
      <c r="E2" s="7">
        <f>COUNTIFS(Candidatos!$B:$B,$A2,Candidatos!$G:$G,"Decisão")</f>
        <v/>
      </c>
      <c r="F2" s="7">
        <f>COUNTIFS(Candidatos!$B:$B,$A2,Candidatos!$G:$G,"Falha")</f>
        <v/>
      </c>
      <c r="G2" s="7">
        <f>COUNTIFS(Candidatos!$B:$B,$A2,Candidatos!$G:$G,"Decisão e falha")</f>
        <v/>
      </c>
      <c r="H2" s="7">
        <f>COUNTIFS(Candidatos!$B:$B,$A2,Candidatos!$I:$I,"&lt;&gt;")</f>
        <v/>
      </c>
      <c r="I2" s="7">
        <f>COUNTIFS(Candidatos!$B:$B,$A2,Candidatos!$K:$K,"regra de negócio")</f>
        <v/>
      </c>
      <c r="J2" s="7">
        <f>COUNTIFS(Candidatos!$B:$B,$A2,Candidatos!$K:$K,"infraestrutura (excluída)")</f>
        <v/>
      </c>
      <c r="K2" s="7">
        <f>COUNTIFS(Candidatos!$B:$B,$A2,Candidatos!$K:$K,"a discutir")</f>
        <v/>
      </c>
      <c r="L2" s="7">
        <f>COUNTIFS(Candidatos!$B:$B,$A2,Candidatos!$L:$L,"Validado")</f>
        <v/>
      </c>
      <c r="M2" s="7">
        <f>C2-L2</f>
        <v/>
      </c>
      <c r="N2" s="7">
        <f>COUNTIFS(Candidatos!$B:$B,$A2,Candidatos!$K:$K,"regra de negócio",Candidatos!$P:$P,"&lt;&gt;")</f>
        <v/>
      </c>
      <c r="O2" s="7">
        <f>COUNTIFS(Candidatos!$B:$B,$A2,Candidatos!$K:$K,"regra de negócio",Candidatos!$P:$P,"Sim")</f>
        <v/>
      </c>
      <c r="P2" s="7">
        <f>COUNTIFS(Candidatos!$B:$B,$A2,Candidatos!$K:$K,"regra de negócio",Candidatos!$P:$P,"Incompleto")</f>
        <v/>
      </c>
      <c r="Q2" s="7">
        <f>COUNTIFS(Candidatos!$B:$B,$A2,Candidatos!$K:$K,"interface (excluída)")</f>
        <v/>
      </c>
      <c r="R2" s="7">
        <f>COUNTIFS(Candidatos!$B:$B,$A2,Candidatos!$K:$K,"sem comentário próprio (excluída)")</f>
        <v/>
      </c>
      <c r="S2" s="2" t="n"/>
      <c r="T2" s="2" t="n"/>
      <c r="U2" s="2" t="n"/>
      <c r="V2" s="2" t="n"/>
      <c r="W2" s="2" t="n"/>
      <c r="X2" s="2" t="n"/>
      <c r="Y2" s="2" t="n"/>
      <c r="Z2" s="2" t="n"/>
    </row>
    <row r="3">
      <c r="A3" s="7" t="inlineStr">
        <is>
          <t>XFRFUN</t>
        </is>
      </c>
      <c r="B3" s="7">
        <f>C3+D3</f>
        <v/>
      </c>
      <c r="C3" s="7">
        <f>COUNTIF(Candidatos!$B:$B,$A3)</f>
        <v/>
      </c>
      <c r="D3" s="7">
        <f>COUNTIFS(Descartados!$B:$B,$A3,Descartados!$I:$I,"&lt;&gt;Reincluir")</f>
        <v/>
      </c>
      <c r="E3" s="7">
        <f>COUNTIFS(Candidatos!$B:$B,$A3,Candidatos!$G:$G,"Decisão")</f>
        <v/>
      </c>
      <c r="F3" s="7">
        <f>COUNTIFS(Candidatos!$B:$B,$A3,Candidatos!$G:$G,"Falha")</f>
        <v/>
      </c>
      <c r="G3" s="7">
        <f>COUNTIFS(Candidatos!$B:$B,$A3,Candidatos!$G:$G,"Decisão e falha")</f>
        <v/>
      </c>
      <c r="H3" s="7">
        <f>COUNTIFS(Candidatos!$B:$B,$A3,Candidatos!$I:$I,"&lt;&gt;")</f>
        <v/>
      </c>
      <c r="I3" s="7">
        <f>COUNTIFS(Candidatos!$B:$B,$A3,Candidatos!$K:$K,"regra de negócio")</f>
        <v/>
      </c>
      <c r="J3" s="7">
        <f>COUNTIFS(Candidatos!$B:$B,$A3,Candidatos!$K:$K,"infraestrutura (excluída)")</f>
        <v/>
      </c>
      <c r="K3" s="7">
        <f>COUNTIFS(Candidatos!$B:$B,$A3,Candidatos!$K:$K,"a discutir")</f>
        <v/>
      </c>
      <c r="L3" s="7">
        <f>COUNTIFS(Candidatos!$B:$B,$A3,Candidatos!$L:$L,"Validado")</f>
        <v/>
      </c>
      <c r="M3" s="7">
        <f>C3-L3</f>
        <v/>
      </c>
      <c r="N3" s="7">
        <f>COUNTIFS(Candidatos!$B:$B,$A3,Candidatos!$K:$K,"regra de negócio",Candidatos!$P:$P,"&lt;&gt;")</f>
        <v/>
      </c>
      <c r="O3" s="7">
        <f>COUNTIFS(Candidatos!$B:$B,$A3,Candidatos!$K:$K,"regra de negócio",Candidatos!$P:$P,"Sim")</f>
        <v/>
      </c>
      <c r="P3" s="7">
        <f>COUNTIFS(Candidatos!$B:$B,$A3,Candidatos!$K:$K,"regra de negócio",Candidatos!$P:$P,"Incompleto")</f>
        <v/>
      </c>
      <c r="Q3" s="7">
        <f>COUNTIFS(Candidatos!$B:$B,$A3,Candidatos!$K:$K,"interface (excluída)")</f>
        <v/>
      </c>
      <c r="R3" s="7">
        <f>COUNTIFS(Candidatos!$B:$B,$A3,Candidatos!$K:$K,"sem comentário próprio (excluída)")</f>
        <v/>
      </c>
      <c r="S3" s="2" t="n"/>
      <c r="T3" s="2" t="n"/>
      <c r="U3" s="2" t="n"/>
      <c r="V3" s="2" t="n"/>
      <c r="W3" s="2" t="n"/>
      <c r="X3" s="2" t="n"/>
      <c r="Y3" s="2" t="n"/>
      <c r="Z3" s="2" t="n"/>
    </row>
    <row r="4">
      <c r="A4" s="7" t="inlineStr">
        <is>
          <t>BNK1CRA</t>
        </is>
      </c>
      <c r="B4" s="7">
        <f>C4+D4</f>
        <v/>
      </c>
      <c r="C4" s="7">
        <f>COUNTIF(Candidatos!$B:$B,$A4)</f>
        <v/>
      </c>
      <c r="D4" s="7">
        <f>COUNTIFS(Descartados!$B:$B,$A4,Descartados!$I:$I,"&lt;&gt;Reincluir")</f>
        <v/>
      </c>
      <c r="E4" s="7">
        <f>COUNTIFS(Candidatos!$B:$B,$A4,Candidatos!$G:$G,"Decisão")</f>
        <v/>
      </c>
      <c r="F4" s="7">
        <f>COUNTIFS(Candidatos!$B:$B,$A4,Candidatos!$G:$G,"Falha")</f>
        <v/>
      </c>
      <c r="G4" s="7">
        <f>COUNTIFS(Candidatos!$B:$B,$A4,Candidatos!$G:$G,"Decisão e falha")</f>
        <v/>
      </c>
      <c r="H4" s="7">
        <f>COUNTIFS(Candidatos!$B:$B,$A4,Candidatos!$I:$I,"&lt;&gt;")</f>
        <v/>
      </c>
      <c r="I4" s="7">
        <f>COUNTIFS(Candidatos!$B:$B,$A4,Candidatos!$K:$K,"regra de negócio")</f>
        <v/>
      </c>
      <c r="J4" s="7">
        <f>COUNTIFS(Candidatos!$B:$B,$A4,Candidatos!$K:$K,"infraestrutura (excluída)")</f>
        <v/>
      </c>
      <c r="K4" s="7">
        <f>COUNTIFS(Candidatos!$B:$B,$A4,Candidatos!$K:$K,"a discutir")</f>
        <v/>
      </c>
      <c r="L4" s="7">
        <f>COUNTIFS(Candidatos!$B:$B,$A4,Candidatos!$L:$L,"Validado")</f>
        <v/>
      </c>
      <c r="M4" s="7">
        <f>C4-L4</f>
        <v/>
      </c>
      <c r="N4" s="7">
        <f>COUNTIFS(Candidatos!$B:$B,$A4,Candidatos!$K:$K,"regra de negócio",Candidatos!$P:$P,"&lt;&gt;")</f>
        <v/>
      </c>
      <c r="O4" s="7">
        <f>COUNTIFS(Candidatos!$B:$B,$A4,Candidatos!$K:$K,"regra de negócio",Candidatos!$P:$P,"Sim")</f>
        <v/>
      </c>
      <c r="P4" s="7">
        <f>COUNTIFS(Candidatos!$B:$B,$A4,Candidatos!$K:$K,"regra de negócio",Candidatos!$P:$P,"Incompleto")</f>
        <v/>
      </c>
      <c r="Q4" s="7">
        <f>COUNTIFS(Candidatos!$B:$B,$A4,Candidatos!$K:$K,"interface (excluída)")</f>
        <v/>
      </c>
      <c r="R4" s="7">
        <f>COUNTIFS(Candidatos!$B:$B,$A4,Candidatos!$K:$K,"sem comentário próprio (excluída)")</f>
        <v/>
      </c>
      <c r="S4" s="2" t="n"/>
      <c r="T4" s="2" t="n"/>
      <c r="U4" s="2" t="n"/>
      <c r="V4" s="2" t="n"/>
      <c r="W4" s="2" t="n"/>
      <c r="X4" s="2" t="n"/>
      <c r="Y4" s="2" t="n"/>
      <c r="Z4" s="2" t="n"/>
    </row>
    <row r="5">
      <c r="A5" s="7" t="inlineStr">
        <is>
          <t>BNK1TFN</t>
        </is>
      </c>
      <c r="B5" s="7">
        <f>C5+D5</f>
        <v/>
      </c>
      <c r="C5" s="7">
        <f>COUNTIF(Candidatos!$B:$B,$A5)</f>
        <v/>
      </c>
      <c r="D5" s="7">
        <f>COUNTIFS(Descartados!$B:$B,$A5,Descartados!$I:$I,"&lt;&gt;Reincluir")</f>
        <v/>
      </c>
      <c r="E5" s="7">
        <f>COUNTIFS(Candidatos!$B:$B,$A5,Candidatos!$G:$G,"Decisão")</f>
        <v/>
      </c>
      <c r="F5" s="7">
        <f>COUNTIFS(Candidatos!$B:$B,$A5,Candidatos!$G:$G,"Falha")</f>
        <v/>
      </c>
      <c r="G5" s="7">
        <f>COUNTIFS(Candidatos!$B:$B,$A5,Candidatos!$G:$G,"Decisão e falha")</f>
        <v/>
      </c>
      <c r="H5" s="7">
        <f>COUNTIFS(Candidatos!$B:$B,$A5,Candidatos!$I:$I,"&lt;&gt;")</f>
        <v/>
      </c>
      <c r="I5" s="7">
        <f>COUNTIFS(Candidatos!$B:$B,$A5,Candidatos!$K:$K,"regra de negócio")</f>
        <v/>
      </c>
      <c r="J5" s="7">
        <f>COUNTIFS(Candidatos!$B:$B,$A5,Candidatos!$K:$K,"infraestrutura (excluída)")</f>
        <v/>
      </c>
      <c r="K5" s="7">
        <f>COUNTIFS(Candidatos!$B:$B,$A5,Candidatos!$K:$K,"a discutir")</f>
        <v/>
      </c>
      <c r="L5" s="7">
        <f>COUNTIFS(Candidatos!$B:$B,$A5,Candidatos!$L:$L,"Validado")</f>
        <v/>
      </c>
      <c r="M5" s="7">
        <f>C5-L5</f>
        <v/>
      </c>
      <c r="N5" s="7">
        <f>COUNTIFS(Candidatos!$B:$B,$A5,Candidatos!$K:$K,"regra de negócio",Candidatos!$P:$P,"&lt;&gt;")</f>
        <v/>
      </c>
      <c r="O5" s="7">
        <f>COUNTIFS(Candidatos!$B:$B,$A5,Candidatos!$K:$K,"regra de negócio",Candidatos!$P:$P,"Sim")</f>
        <v/>
      </c>
      <c r="P5" s="7">
        <f>COUNTIFS(Candidatos!$B:$B,$A5,Candidatos!$K:$K,"regra de negócio",Candidatos!$P:$P,"Incompleto")</f>
        <v/>
      </c>
      <c r="Q5" s="7">
        <f>COUNTIFS(Candidatos!$B:$B,$A5,Candidatos!$K:$K,"interface (excluída)")</f>
        <v/>
      </c>
      <c r="R5" s="7">
        <f>COUNTIFS(Candidatos!$B:$B,$A5,Candidatos!$K:$K,"sem comentário próprio (excluída)")</f>
        <v/>
      </c>
      <c r="S5" s="2" t="n"/>
      <c r="T5" s="2" t="n"/>
      <c r="U5" s="2" t="n"/>
      <c r="V5" s="2" t="n"/>
      <c r="W5" s="2" t="n"/>
      <c r="X5" s="2" t="n"/>
      <c r="Y5" s="2" t="n"/>
      <c r="Z5" s="2" t="n"/>
    </row>
    <row r="6">
      <c r="A6" s="8" t="inlineStr">
        <is>
          <t>TOTAL</t>
        </is>
      </c>
      <c r="B6" s="8">
        <f>SUM(B2:B5)</f>
        <v/>
      </c>
      <c r="C6" s="8">
        <f>SUM(C2:C5)</f>
        <v/>
      </c>
      <c r="D6" s="8">
        <f>SUM(D2:D5)</f>
        <v/>
      </c>
      <c r="E6" s="8">
        <f>SUM(E2:E5)</f>
        <v/>
      </c>
      <c r="F6" s="8">
        <f>SUM(F2:F5)</f>
        <v/>
      </c>
      <c r="G6" s="8">
        <f>SUM(G2:G5)</f>
        <v/>
      </c>
      <c r="H6" s="8">
        <f>SUM(H2:H5)</f>
        <v/>
      </c>
      <c r="I6" s="8">
        <f>SUM(I2:I5)</f>
        <v/>
      </c>
      <c r="J6" s="8">
        <f>SUM(J2:J5)</f>
        <v/>
      </c>
      <c r="K6" s="8">
        <f>SUM(K2:K5)</f>
        <v/>
      </c>
      <c r="L6" s="8">
        <f>SUM(L2:L5)</f>
        <v/>
      </c>
      <c r="M6" s="8">
        <f>SUM(M2:M5)</f>
        <v/>
      </c>
      <c r="N6" s="8">
        <f>SUM(N2:N5)</f>
        <v/>
      </c>
      <c r="O6" s="8">
        <f>SUM(O2:O5)</f>
        <v/>
      </c>
      <c r="P6" s="8">
        <f>SUM(P2:P5)</f>
        <v/>
      </c>
      <c r="Q6" s="8">
        <f>SUM(Q2:Q5)</f>
        <v/>
      </c>
      <c r="R6" s="8">
        <f>SUM(R2:R5)</f>
        <v/>
      </c>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9" t="inlineStr">
        <is>
          <t>Contagens por fórmula: atualizam conforme a revisão é preenchida na aba Candidatos.</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s="16">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s="16">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s="16">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s="16">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s="16">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s="1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s="16">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s="16">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s="16">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s="16">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s="16">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s="16">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s="1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s="1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s="1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s="1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s="1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s="1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s="1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s="1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s="1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s="1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s="1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s="1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s="1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s="1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s="1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s="1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s="1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s="1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s="1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s="1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s="1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s="1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s="1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s="1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s="1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s="1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s="1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s="1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s="1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s="1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s="1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s="1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s="1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s="1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s="1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s="1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s="1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s="1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s="1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s="1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s="1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s="1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s="1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s="1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s="1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s="1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s="1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s="1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s="1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s="1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s="1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s="1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s="1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s="1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s="1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s="1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s="1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s="1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s="1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s="1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s="1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s="1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s="1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s="1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s="1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s="1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s="1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s="1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s="1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s="1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s="1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s="1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s="1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s="1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s="1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s="1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s="1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s="1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s="1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s="1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s="1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s="1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s="1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s="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s="1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s="1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s="1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s="1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s="1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s="1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s="1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s="1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s="1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s="1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s="1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s="1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s="1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s="1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s="1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s="1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s="1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s="1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s="1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s="1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s="1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s="1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s="1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s="1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s="1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s="1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s="1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s="1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s="1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s="1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s="1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s="1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s="1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s="1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s="1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s="1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s="1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s="1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s="1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s="1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s="1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s="1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s="1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s="1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s="1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s="1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s="1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s="1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s="1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s="1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s="1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s="1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s="1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s="1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s="1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s="1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s="1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s="1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s="1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s="1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s="1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s="1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s="1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s="1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s="1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s="1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s="1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s="1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s="1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s="1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s="1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s="1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s="1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s="1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s="1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s="1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s="1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s="1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s="1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s="1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s="1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s="1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s="1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s="1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s="1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s="1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s="1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s="1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s="1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s="1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s="1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s="1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s="1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s="1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s="1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s="1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s="1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s="1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s="1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s="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s="1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s="1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s="1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s="1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s="1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s="1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s="1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s="1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s="1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s="1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s="1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s="1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s="1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s="1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s="1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s="1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s="1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s="1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s="1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s="1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s="1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s="1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s="1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s="1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s="1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s="1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s="1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s="1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s="1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s="1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s="1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s="1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s="1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s="1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s="1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s="1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s="1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s="1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s="1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s="1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s="1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s="1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s="1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s="1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s="1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s="1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s="1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s="1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s="1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s="1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s="1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s="1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s="1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s="1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s="1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s="1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s="1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s="1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s="1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s="1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s="1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s="1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s="1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s="1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s="1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s="1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s="1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s="1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s="1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s="1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s="1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s="1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s="1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s="1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s="1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s="1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s="1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s="1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s="1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s="1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s="1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s="1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s="1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s="1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s="1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s="1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s="1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s="1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s="1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s="1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s="1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s="1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s="1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s="1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s="1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s="1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s="1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s="1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s="1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s="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s="1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s="1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s="1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s="1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s="1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s="1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s="1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s="1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s="1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s="1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s="1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s="1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s="1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s="1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s="1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s="1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s="1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s="1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s="1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s="1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s="1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s="1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s="1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s="1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s="1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s="1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s="1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s="1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s="1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s="1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s="1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s="1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s="1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s="1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s="1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s="1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s="1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s="1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s="1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s="1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s="1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s="1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s="1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s="1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s="1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s="1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s="1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s="1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s="1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s="1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s="1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s="1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s="1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s="1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s="1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s="1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s="1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s="1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s="1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s="1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s="1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s="1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s="1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s="1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s="1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s="1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s="1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s="1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s="1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s="1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s="1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s="1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s="1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s="1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s="1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s="1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s="1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s="1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s="1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s="1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s="1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s="1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s="1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s="1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s="1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s="1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s="1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s="1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s="1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s="1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s="1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s="1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s="1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s="1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s="1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s="1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s="1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s="1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s="1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s="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s="1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s="1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s="1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s="1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s="1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s="1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s="1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s="1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s="1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s="1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s="1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s="1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s="1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s="1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s="1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s="1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s="1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s="1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s="1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s="1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s="1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s="1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s="1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s="1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s="1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s="1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s="1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s="1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s="1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s="1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s="1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s="1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s="1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s="1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s="1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s="1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s="1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s="1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s="1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s="1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s="1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s="1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s="1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s="1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s="1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s="1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s="1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s="1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s="1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s="1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s="1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s="1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s="1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s="1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s="1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s="1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s="1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s="1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s="1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s="1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s="1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s="1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s="1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s="1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s="1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s="1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s="1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s="1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s="1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s="1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s="1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s="1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s="1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s="1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s="1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s="1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s="1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s="1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s="1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s="1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s="1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s="1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s="1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s="1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s="1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s="1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s="1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s="1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s="1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s="1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s="1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s="1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s="1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s="1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s="1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s="1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s="1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s="1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s="1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s="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s="1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s="1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s="1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s="1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s="1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s="1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s="1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s="1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s="1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s="1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s="1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s="1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s="1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s="1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s="1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s="1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s="1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s="1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s="1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s="1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s="1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s="1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s="1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s="1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s="1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s="1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s="1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s="1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s="1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s="1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s="1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s="1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s="1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s="1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s="1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s="1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s="1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s="1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s="1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s="1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s="1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s="1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s="1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s="1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s="1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s="1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s="1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s="1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s="1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s="1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s="1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s="1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s="1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s="1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s="1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s="1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s="1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s="1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s="1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s="1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s="1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s="1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s="1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s="1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s="1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s="1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s="1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s="1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s="1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s="1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s="1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s="1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s="1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s="1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s="1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s="1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s="1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s="1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s="1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s="1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s="1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s="1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s="1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s="1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s="1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s="1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s="1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s="1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s="1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s="1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s="1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s="1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s="1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s="1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s="1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s="1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s="1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s="1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s="1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s="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s="1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s="1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s="1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s="1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s="1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s="1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s="1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s="1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s="1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s="1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s="1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s="1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s="1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s="1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s="1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s="1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s="1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s="1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s="1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s="1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s="1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s="1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s="1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s="1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s="1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s="1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s="1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s="1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s="1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s="1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s="1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s="1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s="1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s="1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s="1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s="1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s="1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s="1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s="1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s="1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s="1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s="1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s="1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s="1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s="1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s="1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s="1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s="1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s="1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s="1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s="1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s="1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s="1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s="1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s="1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s="1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s="1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s="1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s="1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s="1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s="1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s="1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s="1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s="1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s="1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s="1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s="1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s="1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s="1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s="1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s="1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s="1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s="1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s="1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s="1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s="1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s="1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s="1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s="1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s="1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s="1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s="1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s="1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s="1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s="1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s="1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s="1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s="1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s="1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s="1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s="1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s="1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s="1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s="1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s="1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s="1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s="1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s="1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s="1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s="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s="1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s="1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s="1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s="1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s="1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s="1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s="1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s="1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s="1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s="1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s="1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s="1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s="1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s="1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s="1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s="1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s="1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s="1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s="1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s="1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s="1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s="1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s="1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s="1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s="1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s="1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s="1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s="1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s="1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s="1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s="1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s="1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s="1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s="1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s="1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s="1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s="1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s="1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s="1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s="1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s="1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s="1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s="1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s="1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s="1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s="1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s="1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s="1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s="1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s="1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s="1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s="1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s="1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s="1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s="1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s="1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s="1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s="1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s="1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s="1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s="1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s="1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s="1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s="1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s="1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s="1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s="1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s="1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s="1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s="1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s="1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s="1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s="1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s="1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s="1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s="1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s="1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s="1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s="1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s="1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s="1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s="1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s="1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s="1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s="1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s="1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s="1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s="1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s="1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s="1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s="1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s="1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s="1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s="1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s="1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s="1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s="1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s="1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s="1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s="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s="1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s="1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s="1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s="1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s="1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s="1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s="1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s="1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s="1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s="1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s="1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s="1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s="1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s="1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s="1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s="1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s="1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s="1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s="1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s="1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s="1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s="1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s="1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s="1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s="1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s="1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s="1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s="1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s="1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s="1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s="1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s="1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s="1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s="1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s="1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s="1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s="1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s="1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s="1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s="1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s="1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s="1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s="1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s="1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s="1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s="1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s="1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s="1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s="1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s="1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s="1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s="1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s="1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s="1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s="1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s="1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s="1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s="1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s="1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s="1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s="1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s="1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s="1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s="1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s="1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s="1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s="1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s="1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s="1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s="1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s="1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s="1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s="1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s="1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s="1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s="1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s="1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s="1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s="1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s="1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s="1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s="1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s="1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s="1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s="1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s="1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s="1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s="1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s="1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s="1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s="1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s="1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s="1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s="1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s="1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s="1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s="1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s="1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s="1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s="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s="1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s="1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s="1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s="1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s="1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s="1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s="1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s="1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s="1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s="1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s="1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s="1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s="1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s="1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s="1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s="1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s="1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s="1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s="1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s="1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s="1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s="1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s="1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s="1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s="1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s="1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s="1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s="1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s="1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s="1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s="1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s="1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s="1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s="1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s="1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s="1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s="1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s="1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s="1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s="1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s="1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s="1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s="1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s="1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s="1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s="1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s="1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s="1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s="1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s="1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s="1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s="1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s="1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s="1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s="1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s="1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s="1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s="1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s="1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s="1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s="1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s="1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s="1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s="1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s="1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s="1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s="1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s="1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s="1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s="1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s="1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s="1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s="1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s="1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s="1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s="1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s="1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s="1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s="1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s="1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s="1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s="1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s="1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s="1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47"/>
  <sheetViews>
    <sheetView workbookViewId="0">
      <pane xSplit="2" ySplit="1" topLeftCell="C2" activePane="bottomRight" state="frozen"/>
      <selection pane="topRight"/>
      <selection pane="bottomLeft"/>
      <selection pane="bottomRight" activeCell="A1" sqref="A1"/>
    </sheetView>
  </sheetViews>
  <sheetFormatPr baseColWidth="8" defaultRowHeight="15" customHeight="0"/>
  <cols>
    <col width="15" customWidth="1" style="16" min="1" max="1"/>
    <col width="13" customWidth="1" style="16" min="2" max="2"/>
    <col width="10" customWidth="1" style="16" min="3" max="3"/>
    <col width="11" customWidth="1" style="16" min="4" max="4"/>
    <col width="12" customWidth="1" style="16" min="5" max="5"/>
    <col width="80" customWidth="1" style="16" min="6" max="6"/>
    <col width="13" customWidth="1" style="16" min="7" max="7"/>
    <col width="16" customWidth="1" style="16" min="8" max="8"/>
    <col width="70" customWidth="1" style="16" min="9" max="9"/>
  </cols>
  <sheetData>
    <row r="1">
      <c r="A1" s="17" t="inlineStr">
        <is>
          <t>ID da regra</t>
        </is>
      </c>
      <c r="B1" s="17" t="inlineStr">
        <is>
          <t>ID do par</t>
        </is>
      </c>
      <c r="C1" s="17" t="inlineStr">
        <is>
          <t>Programa</t>
        </is>
      </c>
      <c r="D1" s="17" t="inlineStr">
        <is>
          <t>Linhas do comentário</t>
        </is>
      </c>
      <c r="E1" s="17" t="inlineStr">
        <is>
          <t>Linhas do código</t>
        </is>
      </c>
      <c r="F1" s="17" t="inlineStr">
        <is>
          <t>Regra de negócio</t>
        </is>
      </c>
      <c r="G1" s="17" t="inlineStr">
        <is>
          <t>Comentário defasado?</t>
        </is>
      </c>
      <c r="H1" s="17" t="inlineStr">
        <is>
          <t>Origem do par</t>
        </is>
      </c>
      <c r="I1" s="17" t="inlineStr">
        <is>
          <t>Observação do par</t>
        </is>
      </c>
    </row>
    <row r="2">
      <c r="A2" s="18" t="inlineStr">
        <is>
          <t>DBCRFUN-005</t>
        </is>
      </c>
      <c r="B2" s="18" t="inlineStr">
        <is>
          <t>DBCRFUN-005</t>
        </is>
      </c>
      <c r="C2" s="18" t="inlineStr">
        <is>
          <t>DBCRFUN</t>
        </is>
      </c>
      <c r="D2" s="18" t="inlineStr">
        <is>
          <t>276-277</t>
        </is>
      </c>
      <c r="E2" s="18" t="inlineStr">
        <is>
          <t>279-287</t>
        </is>
      </c>
      <c r="F2" s="18" t="inlineStr">
        <is>
          <t>Se a conta solicitada não for encontrada (SQLCODE igual a +100), a operação é sinalizada como malsucedida com o código de falha '1'.</t>
        </is>
      </c>
      <c r="G2" s="18" t="inlineStr">
        <is>
          <t>Não</t>
        </is>
      </c>
      <c r="H2" s="18" t="inlineStr">
        <is>
          <t>Retido pelo script</t>
        </is>
      </c>
      <c r="I2" s="18" t="inlineStr">
        <is>
          <t>O código '1' tem semântica de domínio. O código '2' (SQLCODE diferente de zero e de +100) corresponde a falha técnica de DB2 e não integra a regra, pelo mesmo critério da DBCRFUN-013 (infraestrutura). O IF externo termina na DBCRFUN-006 (Descartados): PERFORM CHECK-FOR-STORM-DRAIN-DB2 e GO TO UAD999 (infraestrutura).</t>
        </is>
      </c>
    </row>
    <row r="3">
      <c r="A3" s="18" t="inlineStr">
        <is>
          <t>DBCRFUN-007</t>
        </is>
      </c>
      <c r="B3" s="18" t="inlineStr">
        <is>
          <t>DBCRFUN-007</t>
        </is>
      </c>
      <c r="C3" s="18" t="inlineStr">
        <is>
          <t>DBCRFUN</t>
        </is>
      </c>
      <c r="D3" s="18" t="inlineStr">
        <is>
          <t>301-304</t>
        </is>
      </c>
      <c r="E3" s="18" t="inlineStr">
        <is>
          <t>307</t>
        </is>
      </c>
      <c r="F3" s="18" t="inlineStr">
        <is>
          <t>Se o valor solicitado for crédito (não negativo), a suficiência do saldo disponível não é verificada.</t>
        </is>
      </c>
      <c r="G3" s="18" t="inlineStr">
        <is>
          <t>Não</t>
        </is>
      </c>
      <c r="H3" s="18" t="inlineStr">
        <is>
          <t>Retido pelo script</t>
        </is>
      </c>
      <c r="I3" s="18" t="inlineStr">
        <is>
          <t>O código contém só a condição (COMM-AMT &lt; 0); as consequências do débito estão na DBCRFUN-008. Não há ELSE: crédito e valor zero não entram no bloco. A checagem de MORTGAGE/LOAN reaparece após o END-IF (DBCRFUN-009).</t>
        </is>
      </c>
    </row>
    <row r="4">
      <c r="A4" s="18" t="inlineStr">
        <is>
          <t>DBCRFUN-008.1</t>
        </is>
      </c>
      <c r="B4" s="18" t="inlineStr">
        <is>
          <t>DBCRFUN-008</t>
        </is>
      </c>
      <c r="C4" s="18" t="inlineStr">
        <is>
          <t>DBCRFUN</t>
        </is>
      </c>
      <c r="D4" s="18" t="inlineStr">
        <is>
          <t>309-328</t>
        </is>
      </c>
      <c r="E4" s="18" t="inlineStr">
        <is>
          <t>316-352</t>
        </is>
      </c>
      <c r="F4" s="18" t="inlineStr">
        <is>
          <t>Se o valor solicitado for um débito, a solicitação vier por pagamento (COMM-FACILTYPE igual a 496) e a conta for do tipo MORTGAGE ou LOAN, a solicitação é negada com o código de falha '4'.</t>
        </is>
      </c>
      <c r="G4" s="18" t="inlineStr">
        <is>
          <t>Sim</t>
        </is>
      </c>
      <c r="H4" s="18" t="inlineStr">
        <is>
          <t>Retido pelo script</t>
        </is>
      </c>
      <c r="I4" s="18" t="inlineStr">
        <is>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is>
      </c>
    </row>
    <row r="5">
      <c r="A5" s="18" t="inlineStr">
        <is>
          <t>DBCRFUN-008.2</t>
        </is>
      </c>
      <c r="B5" s="18" t="inlineStr">
        <is>
          <t>DBCRFUN-008</t>
        </is>
      </c>
      <c r="C5" s="18" t="inlineStr">
        <is>
          <t>DBCRFUN</t>
        </is>
      </c>
      <c r="D5" s="18" t="inlineStr">
        <is>
          <t>309-328</t>
        </is>
      </c>
      <c r="E5" s="18" t="inlineStr">
        <is>
          <t>316-352</t>
        </is>
      </c>
      <c r="F5" s="18" t="inlineStr">
        <is>
          <t>Se o valor solicitado for um débito, a solicitação vier por pagamento (COMM-FACILTYPE igual a 496) e o saldo disponível após o débito for negativo, a solicitação é negada com o código de falha '3'.</t>
        </is>
      </c>
      <c r="G5" s="18" t="inlineStr">
        <is>
          <t>Sim</t>
        </is>
      </c>
      <c r="H5" s="18" t="inlineStr">
        <is>
          <t>Retido pelo script</t>
        </is>
      </c>
      <c r="I5" s="18" t="inlineStr">
        <is>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is>
      </c>
    </row>
    <row r="6">
      <c r="A6" s="18" t="inlineStr">
        <is>
          <t>DBCRFUN-009</t>
        </is>
      </c>
      <c r="B6" s="18" t="inlineStr">
        <is>
          <t>DBCRFUN-009</t>
        </is>
      </c>
      <c r="C6" s="18" t="inlineStr">
        <is>
          <t>DBCRFUN</t>
        </is>
      </c>
      <c r="D6" s="18" t="inlineStr">
        <is>
          <t>356-366</t>
        </is>
      </c>
      <c r="E6" s="18" t="inlineStr">
        <is>
          <t>368-376</t>
        </is>
      </c>
      <c r="F6" s="18" t="inlineStr">
        <is>
          <t>Se a solicitação vier por pagamento (COMM-FACILTYPE igual a 496) e a conta for do tipo MORTGAGE ou LOAN, a solicitação é negada com o código de falha '4'.</t>
        </is>
      </c>
      <c r="G6" s="18" t="inlineStr">
        <is>
          <t>Sim</t>
        </is>
      </c>
      <c r="H6" s="18" t="inlineStr">
        <is>
          <t>Retido pelo script</t>
        </is>
      </c>
      <c r="I6" s="18" t="inlineStr">
        <is>
          <t>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is>
      </c>
    </row>
    <row r="7">
      <c r="A7" s="18" t="inlineStr">
        <is>
          <t>DBCRFUN-018.1</t>
        </is>
      </c>
      <c r="B7" s="18" t="inlineStr">
        <is>
          <t>DBCRFUN-018</t>
        </is>
      </c>
      <c r="C7" s="18" t="inlineStr">
        <is>
          <t>DBCRFUN</t>
        </is>
      </c>
      <c r="D7" s="18" t="inlineStr">
        <is>
          <t>496</t>
        </is>
      </c>
      <c r="E7" s="18" t="inlineStr">
        <is>
          <t>498-506</t>
        </is>
      </c>
      <c r="F7" s="18" t="inlineStr">
        <is>
          <t>Se o valor solicitado for um débito feito por pagamento (COMM-FACILTYPE igual a 496), o tipo da transação registrada passa a 'PDR' e a descrição recebe os 14 primeiros caracteres da origem (COMM-ORIGIN).</t>
        </is>
      </c>
      <c r="G7" s="18" t="inlineStr">
        <is>
          <t>Incompleto</t>
        </is>
      </c>
      <c r="H7" s="18" t="inlineStr">
        <is>
          <t>Retido pelo script</t>
        </is>
      </c>
      <c r="I7" s="18" t="inlineStr">
        <is>
          <t>O ELSE fecha o IF COMM-AMT &lt; 0 aberto na DBCRFUN-017; o comentário cobre apenas a regra 1. Linha vale por duas regras.</t>
        </is>
      </c>
    </row>
    <row r="8">
      <c r="A8" s="18" t="inlineStr">
        <is>
          <t>DBCRFUN-018.2</t>
        </is>
      </c>
      <c r="B8" s="18" t="inlineStr">
        <is>
          <t>DBCRFUN-018</t>
        </is>
      </c>
      <c r="C8" s="18" t="inlineStr">
        <is>
          <t>DBCRFUN</t>
        </is>
      </c>
      <c r="D8" s="18" t="inlineStr">
        <is>
          <t>496</t>
        </is>
      </c>
      <c r="E8" s="18" t="inlineStr">
        <is>
          <t>498-506</t>
        </is>
      </c>
      <c r="F8" s="18" t="inlineStr">
        <is>
          <t>Se o valor solicitado for crédito (não negativo), a transação registrada recebe o tipo 'CRE' e a descrição 'COUNTER RECVED'.</t>
        </is>
      </c>
      <c r="G8" s="18" t="inlineStr">
        <is>
          <t>Incompleto</t>
        </is>
      </c>
      <c r="H8" s="18" t="inlineStr">
        <is>
          <t>Retido pelo script</t>
        </is>
      </c>
      <c r="I8" s="18" t="inlineStr">
        <is>
          <t>O ELSE fecha o IF COMM-AMT &lt; 0 aberto na DBCRFUN-017; o comentário cobre apenas a regra 1. Linha vale por duas regras.</t>
        </is>
      </c>
    </row>
    <row r="9">
      <c r="A9" s="18" t="inlineStr">
        <is>
          <t>DBCRFUN-019</t>
        </is>
      </c>
      <c r="B9" s="18" t="inlineStr">
        <is>
          <t>DBCRFUN-019</t>
        </is>
      </c>
      <c r="C9" s="18" t="inlineStr">
        <is>
          <t>DBCRFUN</t>
        </is>
      </c>
      <c r="D9" s="18" t="inlineStr">
        <is>
          <t>509</t>
        </is>
      </c>
      <c r="E9" s="18" t="inlineStr">
        <is>
          <t>511-519</t>
        </is>
      </c>
      <c r="F9" s="18" t="inlineStr">
        <is>
          <t>Se o valor solicitado for um crédito feito por pagamento (COMM-FACILTYPE igual a 496), o tipo da transação registrada passa a 'PCR' e a descrição recebe os 14 primeiros caracteres da origem (COMM-ORIGIN).</t>
        </is>
      </c>
      <c r="G9" s="18" t="inlineStr">
        <is>
          <t>Não</t>
        </is>
      </c>
      <c r="H9" s="18" t="inlineStr">
        <is>
          <t>Retido pelo script</t>
        </is>
      </c>
      <c r="I9" s="18" t="inlineStr">
        <is>
          <t>IF aninhado no ramo de crédito (ELSE da 018). O MOVE COMM-AMT TO HV-PROCTRAN-AMOUNT ao final é procedural e fica fora da regra.</t>
        </is>
      </c>
    </row>
    <row r="10">
      <c r="A10" s="18" t="inlineStr">
        <is>
          <t>XFRFUN-001</t>
        </is>
      </c>
      <c r="B10" s="18" t="inlineStr">
        <is>
          <t>XFRFUN-001</t>
        </is>
      </c>
      <c r="C10" s="18" t="inlineStr">
        <is>
          <t>XFRFUN</t>
        </is>
      </c>
      <c r="D10" s="18" t="inlineStr">
        <is>
          <t>286-287</t>
        </is>
      </c>
      <c r="E10" s="18" t="inlineStr">
        <is>
          <t>289-296</t>
        </is>
      </c>
      <c r="F10" s="18" t="inlineStr">
        <is>
          <t>Se o valor a transferir for menor ou igual a zero, a transferência é negada e a operação é sinalizada como malsucedida com o código de falha '4'.</t>
        </is>
      </c>
      <c r="G10" s="18" t="inlineStr">
        <is>
          <t>Incompleto</t>
        </is>
      </c>
      <c r="H10" s="18" t="inlineStr">
        <is>
          <t>Retido pelo script</t>
        </is>
      </c>
      <c r="I10" s="18" t="inlineStr">
        <is>
          <t>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is>
      </c>
    </row>
    <row r="11">
      <c r="A11" s="18" t="inlineStr">
        <is>
          <t>XFRFUN-003</t>
        </is>
      </c>
      <c r="B11" s="18" t="inlineStr">
        <is>
          <t>XFRFUN-003</t>
        </is>
      </c>
      <c r="C11" s="18" t="inlineStr">
        <is>
          <t>XFRFUN</t>
        </is>
      </c>
      <c r="D11" s="18" t="inlineStr">
        <is>
          <t>313-314</t>
        </is>
      </c>
      <c r="E11" s="18" t="inlineStr">
        <is>
          <t>316-317</t>
        </is>
      </c>
      <c r="F11" s="18" t="inlineStr">
        <is>
          <t>Se a conta de origem e a conta de destino forem a mesma (mesmo número e mesmo código de agência), a transferência não é permitida e o programa é encerrado com ABEND de código 'SAME'.</t>
        </is>
      </c>
      <c r="G11" s="18" t="inlineStr">
        <is>
          <t>Não</t>
        </is>
      </c>
      <c r="H11" s="18" t="inlineStr">
        <is>
          <t>Retido pelo script</t>
        </is>
      </c>
      <c r="I11" s="18" t="inlineStr">
        <is>
          <t>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is>
      </c>
    </row>
    <row r="12">
      <c r="A12" s="18" t="inlineStr">
        <is>
          <t>XFRFUN-008</t>
        </is>
      </c>
      <c r="B12" s="18" t="inlineStr">
        <is>
          <t>XFRFUN-008</t>
        </is>
      </c>
      <c r="C12" s="18" t="inlineStr">
        <is>
          <t>XFRFUN</t>
        </is>
      </c>
      <c r="D12" s="18" t="inlineStr">
        <is>
          <t>392</t>
        </is>
      </c>
      <c r="E12" s="18" t="inlineStr">
        <is>
          <t>394-398</t>
        </is>
      </c>
      <c r="F12" s="18" t="inlineStr">
        <is>
          <t>Se a atualização da conta de origem for bem-sucedida, a conta de destino é atualizada.</t>
        </is>
      </c>
      <c r="G12" s="18" t="inlineStr">
        <is>
          <t>Não</t>
        </is>
      </c>
      <c r="H12" s="18" t="inlineStr">
        <is>
          <t>Retido pelo script</t>
        </is>
      </c>
      <c r="I12" s="18" t="inlineStr">
        <is>
          <t>Ramo em que o número da conta de origem é menor que o da conta de destino (XFRFUN-006). A ordem de atualização por número de conta foi classificada como infraestrutura na reunião com o orientador (XFRFUN-006 e 017). Estrutura espelhada na XFRFUN-019 (ordem inversa). Falhas seguem para rollback/ABEND (XFRFUN-009 a 015).</t>
        </is>
      </c>
    </row>
    <row r="13">
      <c r="A13" s="18" t="inlineStr">
        <is>
          <t>XFRFUN-019</t>
        </is>
      </c>
      <c r="B13" s="18" t="inlineStr">
        <is>
          <t>XFRFUN-019</t>
        </is>
      </c>
      <c r="C13" s="18" t="inlineStr">
        <is>
          <t>XFRFUN</t>
        </is>
      </c>
      <c r="D13" s="18" t="inlineStr">
        <is>
          <t>603-604</t>
        </is>
      </c>
      <c r="E13" s="18" t="inlineStr">
        <is>
          <t>606-610</t>
        </is>
      </c>
      <c r="F13" s="18" t="inlineStr">
        <is>
          <t>Se a atualização da conta de destino for bem-sucedida, a conta de origem é atualizada.</t>
        </is>
      </c>
      <c r="G13" s="18" t="inlineStr">
        <is>
          <t>Não</t>
        </is>
      </c>
      <c r="H13" s="18" t="inlineStr">
        <is>
          <t>Retido pelo script</t>
        </is>
      </c>
      <c r="I13" s="18" t="inlineStr">
        <is>
          <t>Ramo em que o número da conta de origem é maior que o da conta de destino (ordem inversa da XFRFUN-008). A ordem de atualização por número de conta foi classificada como infraestrutura na reunião com o orientador (XFRFUN-006 e 017)</t>
        </is>
      </c>
    </row>
    <row r="14">
      <c r="A14" s="18" t="inlineStr">
        <is>
          <t>XFRFUN-034</t>
        </is>
      </c>
      <c r="B14" s="18" t="inlineStr">
        <is>
          <t>XFRFUN-034</t>
        </is>
      </c>
      <c r="C14" s="18" t="inlineStr">
        <is>
          <t>XFRFUN</t>
        </is>
      </c>
      <c r="D14" s="18" t="inlineStr">
        <is>
          <t>961-962</t>
        </is>
      </c>
      <c r="E14" s="18" t="inlineStr">
        <is>
          <t>964-971</t>
        </is>
      </c>
      <c r="F14" s="18" t="inlineStr">
        <is>
          <t>Se a conta de origem não for encontrada (SQLCODE igual a +100), a operação é sinalizada como malsucedida com o código de falha '1'.</t>
        </is>
      </c>
      <c r="G14" s="18" t="inlineStr">
        <is>
          <t>Não</t>
        </is>
      </c>
      <c r="H14" s="18" t="inlineStr">
        <is>
          <t>Retido pelo script</t>
        </is>
      </c>
      <c r="I14" s="18" t="inlineStr">
        <is>
          <t>Mesmo desenho da DBCRFUN-005. O código '1' vira mensagem 'FROM ACCOUNT no was not found' (BNK1TFN-026). O trecho termina antes do storm drain (XFRFUN-035, Descartados).</t>
        </is>
      </c>
    </row>
    <row r="15">
      <c r="A15" s="18" t="inlineStr">
        <is>
          <t>XFRFUN-043</t>
        </is>
      </c>
      <c r="B15" s="18" t="inlineStr">
        <is>
          <t>XFRFUN-043</t>
        </is>
      </c>
      <c r="C15" s="18" t="inlineStr">
        <is>
          <t>XFRFUN</t>
        </is>
      </c>
      <c r="D15" s="18" t="inlineStr">
        <is>
          <t>1100</t>
        </is>
      </c>
      <c r="E15" s="18" t="inlineStr">
        <is>
          <t>1102-1116</t>
        </is>
      </c>
      <c r="F15" s="18" t="inlineStr">
        <is>
          <t>Se a conta de destino não for encontrada (SQLCODE igual a +100), a operação é sinalizada como malsucedida com o código de falha '2'.</t>
        </is>
      </c>
      <c r="G15" s="18" t="inlineStr">
        <is>
          <t>Não</t>
        </is>
      </c>
      <c r="H15" s="18" t="inlineStr">
        <is>
          <t>Retido pelo script</t>
        </is>
      </c>
      <c r="I15" s="18" t="inlineStr">
        <is>
          <t>O trecho inclui DISPLAY e rollback ('to avoid data inconsistency'), tratados como infraestrutura e fora da regra. O código '2' vira a mensagem 'TO ACCOUNT no was not found' (BNK1TFN-026).</t>
        </is>
      </c>
    </row>
    <row r="16">
      <c r="A16" s="18" t="inlineStr">
        <is>
          <t>BNK1CRA-013</t>
        </is>
      </c>
      <c r="B16" s="18" t="inlineStr">
        <is>
          <t>BNK1CRA-013</t>
        </is>
      </c>
      <c r="C16" s="18" t="inlineStr">
        <is>
          <t>BNK1CRA</t>
        </is>
      </c>
      <c r="D16" s="18" t="inlineStr">
        <is>
          <t>347-348</t>
        </is>
      </c>
      <c r="E16" s="18" t="inlineStr">
        <is>
          <t>350-354</t>
        </is>
      </c>
      <c r="F16" s="18" t="inlineStr">
        <is>
          <t>Se os dados informados passarem na validação (VALID-DATA), o débito ou crédito é aplicado à conta (UPD-CRED-DATA).</t>
        </is>
      </c>
      <c r="G16" s="18" t="inlineStr">
        <is>
          <t>Não</t>
        </is>
      </c>
      <c r="H16" s="18" t="inlineStr">
        <is>
          <t>Retido pelo script</t>
        </is>
      </c>
      <c r="I16" s="18" t="inlineStr">
        <is>
          <t>O SET SEND-DATAONLY-ALARM executado em seguida é procedural e fica fora da regra.</t>
        </is>
      </c>
    </row>
    <row r="17">
      <c r="A17" s="18" t="inlineStr">
        <is>
          <t>BNK1CRA-018.1</t>
        </is>
      </c>
      <c r="B17" s="18" t="inlineStr">
        <is>
          <t>BNK1CRA-018</t>
        </is>
      </c>
      <c r="C17" s="18" t="inlineStr">
        <is>
          <t>BNK1CRA</t>
        </is>
      </c>
      <c r="D17" s="18" t="inlineStr">
        <is>
          <t>444</t>
        </is>
      </c>
      <c r="E17" s="18" t="inlineStr">
        <is>
          <t>446-469</t>
        </is>
      </c>
      <c r="F17" s="18" t="inlineStr">
        <is>
          <t>Se o número da conta informado não for numérico, a entrada é considerada inválida e é exibida a mensagem 'Please enter an account number.'</t>
        </is>
      </c>
      <c r="G17" s="18" t="inlineStr">
        <is>
          <t>Não</t>
        </is>
      </c>
      <c r="H17" s="18" t="inlineStr">
        <is>
          <t>Retido pelo script</t>
        </is>
      </c>
      <c r="I17" s="18" t="inlineStr">
        <is>
          <t>Linha vale por três regras. A condição do sinal é SIGNI diferente de '+' e de '-' com SIGNL = 1 (campo de sinal preenchido).</t>
        </is>
      </c>
    </row>
    <row r="18">
      <c r="A18" s="18" t="inlineStr">
        <is>
          <t>BNK1CRA-018.2</t>
        </is>
      </c>
      <c r="B18" s="18" t="inlineStr">
        <is>
          <t>BNK1CRA-018</t>
        </is>
      </c>
      <c r="C18" s="18" t="inlineStr">
        <is>
          <t>BNK1CRA</t>
        </is>
      </c>
      <c r="D18" s="18" t="inlineStr">
        <is>
          <t>444</t>
        </is>
      </c>
      <c r="E18" s="18" t="inlineStr">
        <is>
          <t>446-469</t>
        </is>
      </c>
      <c r="F18" s="18" t="inlineStr">
        <is>
          <t>Se o número da conta informado for zero, a entrada é considerada inválida e é exibida a mensagem 'Please enter a non zero account number.'</t>
        </is>
      </c>
      <c r="G18" s="18" t="inlineStr">
        <is>
          <t>Não</t>
        </is>
      </c>
      <c r="H18" s="18" t="inlineStr">
        <is>
          <t>Retido pelo script</t>
        </is>
      </c>
      <c r="I18" s="18" t="inlineStr">
        <is>
          <t>Linha vale por três regras. A condição do sinal é SIGNI diferente de '+' e de '-' com SIGNL = 1 (campo de sinal preenchido).</t>
        </is>
      </c>
    </row>
    <row r="19">
      <c r="A19" s="18" t="inlineStr">
        <is>
          <t>BNK1CRA-018.3</t>
        </is>
      </c>
      <c r="B19" s="18" t="inlineStr">
        <is>
          <t>BNK1CRA-018</t>
        </is>
      </c>
      <c r="C19" s="18" t="inlineStr">
        <is>
          <t>BNK1CRA</t>
        </is>
      </c>
      <c r="D19" s="18" t="inlineStr">
        <is>
          <t>444</t>
        </is>
      </c>
      <c r="E19" s="18" t="inlineStr">
        <is>
          <t>446-469</t>
        </is>
      </c>
      <c r="F19" s="18" t="inlineStr">
        <is>
          <t>Se um sinal for informado e não for '+' nem '-', a entrada é considerada inválida e é exibida a mensagem 'Please enter + or - preceding the amount.'</t>
        </is>
      </c>
      <c r="G19" s="18" t="inlineStr">
        <is>
          <t>Não</t>
        </is>
      </c>
      <c r="H19" s="18" t="inlineStr">
        <is>
          <t>Retido pelo script</t>
        </is>
      </c>
      <c r="I19" s="18" t="inlineStr">
        <is>
          <t>Linha vale por três regras. A condição do sinal é SIGNI diferente de '+' e de '-' com SIGNL = 1 (campo de sinal preenchido).</t>
        </is>
      </c>
    </row>
    <row r="20">
      <c r="A20" s="18" t="inlineStr">
        <is>
          <t>BNK1CRA-021</t>
        </is>
      </c>
      <c r="B20" s="18" t="inlineStr">
        <is>
          <t>BNK1CRA-021</t>
        </is>
      </c>
      <c r="C20" s="18" t="inlineStr">
        <is>
          <t>BNK1CRA</t>
        </is>
      </c>
      <c r="D20" s="18" t="inlineStr">
        <is>
          <t>492</t>
        </is>
      </c>
      <c r="E20" s="18" t="inlineStr">
        <is>
          <t>494-498</t>
        </is>
      </c>
      <c r="F20" s="18" t="inlineStr">
        <is>
          <t>Se o sinal informado for '-', o valor da operação é convertido para negativo (débito).</t>
        </is>
      </c>
      <c r="G20" s="18" t="inlineStr">
        <is>
          <t>Não</t>
        </is>
      </c>
      <c r="H20" s="18" t="inlineStr">
        <is>
          <t>Retido pelo script</t>
        </is>
      </c>
      <c r="I20" s="18" t="inlineStr">
        <is>
          <t>Sem ELSE: sinal '+' mantém o valor positivo (crédito). O valor convertido segue para o DBCRFUN (SUBPGM-AMT). O BNK1CRA-018 só rejeita o sinal quando ele foi informado (SIGNL = 1), e o 021 só torna o valor negativo quando o sinal é '-'. Então sinal em branco também resulta em crédito.</t>
        </is>
      </c>
    </row>
    <row r="21">
      <c r="A21" s="18" t="inlineStr">
        <is>
          <t>BNK1CRA-025.1</t>
        </is>
      </c>
      <c r="B21" s="18" t="inlineStr">
        <is>
          <t>BNK1CRA-025</t>
        </is>
      </c>
      <c r="C21" s="18" t="inlineStr">
        <is>
          <t>BNK1CRA</t>
        </is>
      </c>
      <c r="D21" s="18" t="inlineStr">
        <is>
          <t>579</t>
        </is>
      </c>
      <c r="E21" s="18" t="inlineStr">
        <is>
          <t>581-626</t>
        </is>
      </c>
      <c r="F21" s="18" t="inlineStr">
        <is>
          <t>Se o débito ou crédito não for bem-sucedido e o código de falha for '1', é exibida a mensagem de conta não encontrada e valor não aplicado.</t>
        </is>
      </c>
      <c r="G21" s="18" t="inlineStr">
        <is>
          <t>Não</t>
        </is>
      </c>
      <c r="H21" s="18" t="inlineStr">
        <is>
          <t>Retido pelo script</t>
        </is>
      </c>
      <c r="I21" s="18" t="inlineStr">
        <is>
          <t>Não há WHEN '4': a negação de pagamento em conta MORTGAGE/LOAN (DBCRFUN, código '4') cairia em WHEN OTHER e apareceria ao usuário como erro inesperado com o código; possivelmente não ocorre a partir desta tela, pois o código '4' só é gerado em pagamento (COMM-FACILTYPE = 496). A regra 3 vem do ELSE. Linha vale por três regras: as do código '2' (falha técnica de DB2) e do WHEN OTHER (mensagem genérica) foram retiradas por serem tratamento de erro padrão, pelo mesmo critério da DBCRFUN-005 e da XFRFUN-034.</t>
        </is>
      </c>
    </row>
    <row r="22">
      <c r="A22" s="18" t="inlineStr">
        <is>
          <t>BNK1CRA-025.2</t>
        </is>
      </c>
      <c r="B22" s="18" t="inlineStr">
        <is>
          <t>BNK1CRA-025</t>
        </is>
      </c>
      <c r="C22" s="18" t="inlineStr">
        <is>
          <t>BNK1CRA</t>
        </is>
      </c>
      <c r="D22" s="18" t="inlineStr">
        <is>
          <t>579</t>
        </is>
      </c>
      <c r="E22" s="18" t="inlineStr">
        <is>
          <t>581-626</t>
        </is>
      </c>
      <c r="F22" s="18" t="inlineStr">
        <is>
          <t>Se o débito ou crédito não for bem-sucedido e o código de falha for '3', é exibida a mensagem de saldo insuficiente.</t>
        </is>
      </c>
      <c r="G22" s="18" t="inlineStr">
        <is>
          <t>Não</t>
        </is>
      </c>
      <c r="H22" s="18" t="inlineStr">
        <is>
          <t>Retido pelo script</t>
        </is>
      </c>
      <c r="I22" s="18" t="inlineStr">
        <is>
          <t>Não há WHEN '4': a negação de pagamento em conta MORTGAGE/LOAN (DBCRFUN, código '4') cairia em WHEN OTHER e apareceria ao usuário como erro inesperado com o código; possivelmente não ocorre a partir desta tela, pois o código '4' só é gerado em pagamento (COMM-FACILTYPE = 496). A regra 3 vem do ELSE. Linha vale por três regras: as do código '2' (falha técnica de DB2) e do WHEN OTHER (mensagem genérica) foram retiradas por serem tratamento de erro padrão, pelo mesmo critério da DBCRFUN-005 e da XFRFUN-034.</t>
        </is>
      </c>
    </row>
    <row r="23">
      <c r="A23" s="18" t="inlineStr">
        <is>
          <t>BNK1CRA-025.3</t>
        </is>
      </c>
      <c r="B23" s="18" t="inlineStr">
        <is>
          <t>BNK1CRA-025</t>
        </is>
      </c>
      <c r="C23" s="18" t="inlineStr">
        <is>
          <t>BNK1CRA</t>
        </is>
      </c>
      <c r="D23" s="18" t="inlineStr">
        <is>
          <t>579</t>
        </is>
      </c>
      <c r="E23" s="18" t="inlineStr">
        <is>
          <t>581-626</t>
        </is>
      </c>
      <c r="F23" s="18" t="inlineStr">
        <is>
          <t>Se o débito ou crédito for bem-sucedido, é exibida a mensagem 'Amount successfully applied to the account.'</t>
        </is>
      </c>
      <c r="G23" s="18" t="inlineStr">
        <is>
          <t>Não</t>
        </is>
      </c>
      <c r="H23" s="18" t="inlineStr">
        <is>
          <t>Retido pelo script</t>
        </is>
      </c>
      <c r="I23" s="18" t="inlineStr">
        <is>
          <t>Não há WHEN '4': a negação de pagamento em conta MORTGAGE/LOAN (DBCRFUN, código '4') cairia em WHEN OTHER e apareceria ao usuário como erro inesperado com o código; possivelmente não ocorre a partir desta tela, pois o código '4' só é gerado em pagamento (COMM-FACILTYPE = 496). A regra 3 vem do ELSE. Linha vale por três regras: as do código '2' (falha técnica de DB2) e do WHEN OTHER (mensagem genérica) foram retiradas por serem tratamento de erro padrão, pelo mesmo critério da DBCRFUN-005 e da XFRFUN-034.</t>
        </is>
      </c>
    </row>
    <row r="24">
      <c r="A24" s="18" t="inlineStr">
        <is>
          <t>BNK1CRA-039</t>
        </is>
      </c>
      <c r="B24" s="18" t="inlineStr">
        <is>
          <t>BNK1CRA-039</t>
        </is>
      </c>
      <c r="C24" s="18" t="inlineStr">
        <is>
          <t>BNK1CRA</t>
        </is>
      </c>
      <c r="D24" s="18" t="inlineStr">
        <is>
          <t>986</t>
        </is>
      </c>
      <c r="E24" s="18" t="inlineStr">
        <is>
          <t>988-1035</t>
        </is>
      </c>
      <c r="F24" s="18" t="inlineStr">
        <is>
          <t>Se o campo de valor for composto inteiramente de espaços, a entrada é considerada inválida e é exibida a mensagem 'The Amount entered must be numeric.'</t>
        </is>
      </c>
      <c r="G24" s="18" t="inlineStr">
        <is>
          <t>Não</t>
        </is>
      </c>
      <c r="H24" s="18" t="inlineStr">
        <is>
          <t>Retido pelo script</t>
        </is>
      </c>
      <c r="I24" s="18" t="inlineStr">
        <is>
          <t>O restante do trecho (UNSTRING, contagem de caracteres) é procedural e já aparece completo.</t>
        </is>
      </c>
    </row>
    <row r="25">
      <c r="A25" s="18" t="inlineStr">
        <is>
          <t>BNK1CRA-040</t>
        </is>
      </c>
      <c r="B25" s="18" t="inlineStr">
        <is>
          <t>BNK1CRA-040</t>
        </is>
      </c>
      <c r="C25" s="18" t="inlineStr">
        <is>
          <t>BNK1CRA</t>
        </is>
      </c>
      <c r="D25" s="18" t="inlineStr">
        <is>
          <t>1038-1042</t>
        </is>
      </c>
      <c r="E25" s="18" t="inlineStr">
        <is>
          <t>1044-1064</t>
        </is>
      </c>
      <c r="F25" s="18" t="inlineStr">
        <is>
          <t>Se o valor informado contiver caracteres diferentes de dígitos e ponto decimal, a entrada é considerada inválida e é exibida a mensagem 'Please supply a numeric amount.'</t>
        </is>
      </c>
      <c r="G25" s="18" t="inlineStr">
        <is>
          <t>Não</t>
        </is>
      </c>
      <c r="H25" s="18" t="inlineStr">
        <is>
          <t>Retido pelo script</t>
        </is>
      </c>
      <c r="I25" s="18" t="inlineStr">
        <is>
          <t>Os caracteres aceitos (dígitos 0 a 9 e '.') são os contados no INSPECT que antecede o trecho. O segundo literal é perdido por DELIMITED BY SPACES; a mensagem exibida termina em 'embedded'. Decisão da reunião com o orientador (ponto 8): a regra dos espaços embutidos foi retirada do gabarito, porque o defeito do código deixa incerto se vale a intenção do programador ou o comportamento real; fica documentada aqui: Se o valor informado contiver espaços embutidos, a entrada é considerada inválida e é exibida a mensagem 'Please supply a numeric amount without embedded'</t>
        </is>
      </c>
    </row>
    <row r="26">
      <c r="A26" s="18" t="inlineStr">
        <is>
          <t>BNK1CRA-041</t>
        </is>
      </c>
      <c r="B26" s="18" t="inlineStr">
        <is>
          <t>BNK1CRA-041</t>
        </is>
      </c>
      <c r="C26" s="18" t="inlineStr">
        <is>
          <t>BNK1CRA</t>
        </is>
      </c>
      <c r="D26" s="18" t="inlineStr">
        <is>
          <t>1067</t>
        </is>
      </c>
      <c r="E26" s="18" t="inlineStr">
        <is>
          <t>1069-1083</t>
        </is>
      </c>
      <c r="F26" s="18" t="inlineStr">
        <is>
          <t>Se o valor informado contiver mais de um ponto decimal, a entrada é considerada inválida e é exibida a mensagem 'Use one decimal point for amount only.'</t>
        </is>
      </c>
      <c r="G26" s="18" t="inlineStr">
        <is>
          <t>Não</t>
        </is>
      </c>
      <c r="H26" s="18" t="inlineStr">
        <is>
          <t>Retido pelo script</t>
        </is>
      </c>
      <c r="I26" s="18" t="n"/>
    </row>
    <row r="27">
      <c r="A27" s="18" t="inlineStr">
        <is>
          <t>BNK1CRA-042</t>
        </is>
      </c>
      <c r="B27" s="18" t="inlineStr">
        <is>
          <t>BNK1CRA-042</t>
        </is>
      </c>
      <c r="C27" s="18" t="inlineStr">
        <is>
          <t>BNK1CRA</t>
        </is>
      </c>
      <c r="D27" s="18" t="inlineStr">
        <is>
          <t>1086</t>
        </is>
      </c>
      <c r="E27" s="18" t="inlineStr">
        <is>
          <t>1088-1114</t>
        </is>
      </c>
      <c r="F27" s="18" t="inlineStr">
        <is>
          <t>Se o valor informado tiver mais de duas casas decimais, a entrada é considerada inválida e é exibida a mensagem 'Only up to two decimal places are supported.'</t>
        </is>
      </c>
      <c r="G27" s="18" t="inlineStr">
        <is>
          <t>Não</t>
        </is>
      </c>
      <c r="H27" s="18" t="inlineStr">
        <is>
          <t>Retido pelo script</t>
        </is>
      </c>
      <c r="I27" s="18" t="inlineStr">
        <is>
          <t>A condição está nesta linha (dois IF aninhados); a mensagem e a consequência estão na BNK1CRA-043. Trecho de código extenso e repetitivo (INSPECT com contagem por dígito).</t>
        </is>
      </c>
    </row>
    <row r="28">
      <c r="A28" s="18" t="inlineStr">
        <is>
          <t>BNK1TFN-014</t>
        </is>
      </c>
      <c r="B28" s="18" t="inlineStr">
        <is>
          <t>BNK1TFN-014</t>
        </is>
      </c>
      <c r="C28" s="18" t="inlineStr">
        <is>
          <t>BNK1TFN</t>
        </is>
      </c>
      <c r="D28" s="18" t="inlineStr">
        <is>
          <t>333-334</t>
        </is>
      </c>
      <c r="E28" s="18" t="inlineStr">
        <is>
          <t>336-340</t>
        </is>
      </c>
      <c r="F28" s="18" t="inlineStr">
        <is>
          <t>Se os dados informados passarem na validação (VALID-DATA), a transferência é solicitada ao programa XFRFUN (GET-ACC-DATA).</t>
        </is>
      </c>
      <c r="G28" s="18" t="inlineStr">
        <is>
          <t>Incompleto</t>
        </is>
      </c>
      <c r="H28" s="18" t="inlineStr">
        <is>
          <t>Retido pelo script</t>
        </is>
      </c>
      <c r="I28" s="18" t="inlineStr">
        <is>
          <t>O SET SEND-DATAONLY-ALARM executado em seguida é procedural e fica fora da regra.</t>
        </is>
      </c>
    </row>
    <row r="29">
      <c r="A29" s="18" t="inlineStr">
        <is>
          <t>BNK1TFN-019.1</t>
        </is>
      </c>
      <c r="B29" s="18" t="inlineStr">
        <is>
          <t>BNK1TFN-019</t>
        </is>
      </c>
      <c r="C29" s="18" t="inlineStr">
        <is>
          <t>BNK1TFN</t>
        </is>
      </c>
      <c r="D29" s="18" t="inlineStr">
        <is>
          <t>431</t>
        </is>
      </c>
      <c r="E29" s="18" t="inlineStr">
        <is>
          <t>433-467</t>
        </is>
      </c>
      <c r="F29" s="18" t="inlineStr">
        <is>
          <t>Se o número da conta de origem informado não for numérico, a entrada é considerada inválida e é exibida a mensagem 'Please enter a FROM account no'.</t>
        </is>
      </c>
      <c r="G29" s="18" t="inlineStr">
        <is>
          <t>Não</t>
        </is>
      </c>
      <c r="H29" s="18" t="inlineStr">
        <is>
          <t>Retido pelo script</t>
        </is>
      </c>
      <c r="I29" s="18" t="inlineStr">
        <is>
          <t>Linha vale por quatro regras. A restrição de contas iguais também existe no XFRFUN-003 (ABEND 'SAME'): a tela barra antes de chegar ao programa de negócio.</t>
        </is>
      </c>
    </row>
    <row r="30">
      <c r="A30" s="18" t="inlineStr">
        <is>
          <t>BNK1TFN-019.2</t>
        </is>
      </c>
      <c r="B30" s="18" t="inlineStr">
        <is>
          <t>BNK1TFN-019</t>
        </is>
      </c>
      <c r="C30" s="18" t="inlineStr">
        <is>
          <t>BNK1TFN</t>
        </is>
      </c>
      <c r="D30" s="18" t="inlineStr">
        <is>
          <t>431</t>
        </is>
      </c>
      <c r="E30" s="18" t="inlineStr">
        <is>
          <t>433-467</t>
        </is>
      </c>
      <c r="F30" s="18" t="inlineStr">
        <is>
          <t>Se o número da conta de destino informado não for numérico, a entrada é considerada inválida e é exibida a mensagem 'Please enter a TO account no'.</t>
        </is>
      </c>
      <c r="G30" s="18" t="inlineStr">
        <is>
          <t>Não</t>
        </is>
      </c>
      <c r="H30" s="18" t="inlineStr">
        <is>
          <t>Retido pelo script</t>
        </is>
      </c>
      <c r="I30" s="18" t="inlineStr">
        <is>
          <t>Linha vale por quatro regras. A restrição de contas iguais também existe no XFRFUN-003 (ABEND 'SAME'): a tela barra antes de chegar ao programa de negócio.</t>
        </is>
      </c>
    </row>
    <row r="31">
      <c r="A31" s="18" t="inlineStr">
        <is>
          <t>BNK1TFN-019.3</t>
        </is>
      </c>
      <c r="B31" s="18" t="inlineStr">
        <is>
          <t>BNK1TFN-019</t>
        </is>
      </c>
      <c r="C31" s="18" t="inlineStr">
        <is>
          <t>BNK1TFN</t>
        </is>
      </c>
      <c r="D31" s="18" t="inlineStr">
        <is>
          <t>431</t>
        </is>
      </c>
      <c r="E31" s="18" t="inlineStr">
        <is>
          <t>433-467</t>
        </is>
      </c>
      <c r="F31" s="18" t="inlineStr">
        <is>
          <t>Se as contas de origem e de destino informadas forem iguais, a entrada é considerada inválida e é exibida a mensagem 'The FROM &amp; TO account should be different'.</t>
        </is>
      </c>
      <c r="G31" s="18" t="inlineStr">
        <is>
          <t>Não</t>
        </is>
      </c>
      <c r="H31" s="18" t="inlineStr">
        <is>
          <t>Retido pelo script</t>
        </is>
      </c>
      <c r="I31" s="18" t="inlineStr">
        <is>
          <t>Linha vale por quatro regras. A restrição de contas iguais também existe no XFRFUN-003 (ABEND 'SAME'): a tela barra antes de chegar ao programa de negócio.</t>
        </is>
      </c>
    </row>
    <row r="32">
      <c r="A32" s="18" t="inlineStr">
        <is>
          <t>BNK1TFN-019.4</t>
        </is>
      </c>
      <c r="B32" s="18" t="inlineStr">
        <is>
          <t>BNK1TFN-019</t>
        </is>
      </c>
      <c r="C32" s="18" t="inlineStr">
        <is>
          <t>BNK1TFN</t>
        </is>
      </c>
      <c r="D32" s="18" t="inlineStr">
        <is>
          <t>431</t>
        </is>
      </c>
      <c r="E32" s="18" t="inlineStr">
        <is>
          <t>433-467</t>
        </is>
      </c>
      <c r="F32" s="18" t="inlineStr">
        <is>
          <t>Se a conta de origem ou a de destino for 00000000, a entrada é considerada inválida e é exibida a mensagem 'Account no 00000000 is not valid'.</t>
        </is>
      </c>
      <c r="G32" s="18" t="inlineStr">
        <is>
          <t>Não</t>
        </is>
      </c>
      <c r="H32" s="18" t="inlineStr">
        <is>
          <t>Retido pelo script</t>
        </is>
      </c>
      <c r="I32" s="18" t="inlineStr">
        <is>
          <t>Linha vale por quatro regras. A restrição de contas iguais também existe no XFRFUN-003 (ABEND 'SAME'): a tela barra antes de chegar ao programa de negócio.</t>
        </is>
      </c>
    </row>
    <row r="33">
      <c r="A33" s="18" t="inlineStr">
        <is>
          <t>BNK1TFN-026.1</t>
        </is>
      </c>
      <c r="B33" s="18" t="inlineStr">
        <is>
          <t>BNK1TFN-026</t>
        </is>
      </c>
      <c r="C33" s="18" t="inlineStr">
        <is>
          <t>BNK1TFN</t>
        </is>
      </c>
      <c r="D33" s="18" t="inlineStr">
        <is>
          <t>580-581</t>
        </is>
      </c>
      <c r="E33" s="18" t="inlineStr">
        <is>
          <t>582-640</t>
        </is>
      </c>
      <c r="F33" s="18" t="inlineStr">
        <is>
          <t>Se a transferência não for bem-sucedida e o código de falha for '1', é exibida a mensagem de conta de origem não encontrada e transferência não aplicada.</t>
        </is>
      </c>
      <c r="G33" s="18" t="inlineStr">
        <is>
          <t>Incompleto</t>
        </is>
      </c>
      <c r="H33" s="18" t="inlineStr">
        <is>
          <t>Retido pelo script</t>
        </is>
      </c>
      <c r="I33" s="18" t="inlineStr">
        <is>
          <t>Linha vale por quatro regras. Foram retiradas as regras do código '3' (falha técnica), do WHEN OTHER (mensagem genérica) e da checagem SUBPGM-SUCCESS NOT = 'Y' (mensagem 'unable to determine success'), por serem tratamento de erro padrão, pelo mesmo critério da DBCRFUN-005 e da BNK1CRA-025. A regra 4 vem do ELSE do segundo IF. Defeito no código: o WHEN '3' não tem GO TO GCD999 (os demais têm); o fluxo segue para o segundo IF e, como SUBPGM-SUCCESS continua 'N', a mensagem 'unexpected error' é sobrescrita por 'unable to determine success'. Ponto 8 da reunião com o orientador: o defeito do WHEN '3' afeta só a regra do código '3', já retirada; as regras restantes não dependem dele.</t>
        </is>
      </c>
    </row>
    <row r="34">
      <c r="A34" s="18" t="inlineStr">
        <is>
          <t>BNK1TFN-026.2</t>
        </is>
      </c>
      <c r="B34" s="18" t="inlineStr">
        <is>
          <t>BNK1TFN-026</t>
        </is>
      </c>
      <c r="C34" s="18" t="inlineStr">
        <is>
          <t>BNK1TFN</t>
        </is>
      </c>
      <c r="D34" s="18" t="inlineStr">
        <is>
          <t>580-581</t>
        </is>
      </c>
      <c r="E34" s="18" t="inlineStr">
        <is>
          <t>582-640</t>
        </is>
      </c>
      <c r="F34" s="18" t="inlineStr">
        <is>
          <t>Se a transferência não for bem-sucedida e o código de falha for '2', é exibida a mensagem de conta de destino não encontrada e transferência não aplicada.</t>
        </is>
      </c>
      <c r="G34" s="18" t="inlineStr">
        <is>
          <t>Incompleto</t>
        </is>
      </c>
      <c r="H34" s="18" t="inlineStr">
        <is>
          <t>Retido pelo script</t>
        </is>
      </c>
      <c r="I34" s="18" t="inlineStr">
        <is>
          <t>Linha vale por quatro regras. Foram retiradas as regras do código '3' (falha técnica), do WHEN OTHER (mensagem genérica) e da checagem SUBPGM-SUCCESS NOT = 'Y' (mensagem 'unable to determine success'), por serem tratamento de erro padrão, pelo mesmo critério da DBCRFUN-005 e da BNK1CRA-025. A regra 4 vem do ELSE do segundo IF. Defeito no código: o WHEN '3' não tem GO TO GCD999 (os demais têm); o fluxo segue para o segundo IF e, como SUBPGM-SUCCESS continua 'N', a mensagem 'unexpected error' é sobrescrita por 'unable to determine success'. Ponto 8 da reunião com o orientador: o defeito do WHEN '3' afeta só a regra do código '3', já retirada; as regras restantes não dependem dele.</t>
        </is>
      </c>
    </row>
    <row r="35">
      <c r="A35" s="18" t="inlineStr">
        <is>
          <t>BNK1TFN-026.3</t>
        </is>
      </c>
      <c r="B35" s="18" t="inlineStr">
        <is>
          <t>BNK1TFN-026</t>
        </is>
      </c>
      <c r="C35" s="18" t="inlineStr">
        <is>
          <t>BNK1TFN</t>
        </is>
      </c>
      <c r="D35" s="18" t="inlineStr">
        <is>
          <t>580-581</t>
        </is>
      </c>
      <c r="E35" s="18" t="inlineStr">
        <is>
          <t>582-640</t>
        </is>
      </c>
      <c r="F35" s="18" t="inlineStr">
        <is>
          <t>Se a transferência não for bem-sucedida e o código de falha for '4', é exibida a mensagem 'Please supply an amount greater than zero.'</t>
        </is>
      </c>
      <c r="G35" s="18" t="inlineStr">
        <is>
          <t>Incompleto</t>
        </is>
      </c>
      <c r="H35" s="18" t="inlineStr">
        <is>
          <t>Retido pelo script</t>
        </is>
      </c>
      <c r="I35" s="18" t="inlineStr">
        <is>
          <t>Linha vale por quatro regras. Foram retiradas as regras do código '3' (falha técnica), do WHEN OTHER (mensagem genérica) e da checagem SUBPGM-SUCCESS NOT = 'Y' (mensagem 'unable to determine success'), por serem tratamento de erro padrão, pelo mesmo critério da DBCRFUN-005 e da BNK1CRA-025. A regra 4 vem do ELSE do segundo IF. Defeito no código: o WHEN '3' não tem GO TO GCD999 (os demais têm); o fluxo segue para o segundo IF e, como SUBPGM-SUCCESS continua 'N', a mensagem 'unexpected error' é sobrescrita por 'unable to determine success'. Ponto 8 da reunião com o orientador: o defeito do WHEN '3' afeta só a regra do código '3', já retirada; as regras restantes não dependem dele.</t>
        </is>
      </c>
    </row>
    <row r="36">
      <c r="A36" s="18" t="inlineStr">
        <is>
          <t>BNK1TFN-026.4</t>
        </is>
      </c>
      <c r="B36" s="18" t="inlineStr">
        <is>
          <t>BNK1TFN-026</t>
        </is>
      </c>
      <c r="C36" s="18" t="inlineStr">
        <is>
          <t>BNK1TFN</t>
        </is>
      </c>
      <c r="D36" s="18" t="inlineStr">
        <is>
          <t>580-581</t>
        </is>
      </c>
      <c r="E36" s="18" t="inlineStr">
        <is>
          <t>582-640</t>
        </is>
      </c>
      <c r="F36" s="18" t="inlineStr">
        <is>
          <t>Se o indicador de sucesso da transferência for 'Y', é exibida a mensagem 'Transfer successfully applied.'</t>
        </is>
      </c>
      <c r="G36" s="18" t="inlineStr">
        <is>
          <t>Incompleto</t>
        </is>
      </c>
      <c r="H36" s="18" t="inlineStr">
        <is>
          <t>Retido pelo script</t>
        </is>
      </c>
      <c r="I36" s="18" t="inlineStr">
        <is>
          <t>Linha vale por quatro regras. Foram retiradas as regras do código '3' (falha técnica), do WHEN OTHER (mensagem genérica) e da checagem SUBPGM-SUCCESS NOT = 'Y' (mensagem 'unable to determine success'), por serem tratamento de erro padrão, pelo mesmo critério da DBCRFUN-005 e da BNK1CRA-025. A regra 4 vem do ELSE do segundo IF. Defeito no código: o WHEN '3' não tem GO TO GCD999 (os demais têm); o fluxo segue para o segundo IF e, como SUBPGM-SUCCESS continua 'N', a mensagem 'unexpected error' é sobrescrita por 'unable to determine success'. Ponto 8 da reunião com o orientador: o defeito do WHEN '3' afeta só a regra do código '3', já retirada; as regras restantes não dependem dele.</t>
        </is>
      </c>
    </row>
    <row r="37">
      <c r="A37" s="18" t="inlineStr">
        <is>
          <t>BNK1TFN-041</t>
        </is>
      </c>
      <c r="B37" s="18" t="inlineStr">
        <is>
          <t>BNK1TFN-041</t>
        </is>
      </c>
      <c r="C37" s="18" t="inlineStr">
        <is>
          <t>BNK1TFN</t>
        </is>
      </c>
      <c r="D37" s="18" t="inlineStr">
        <is>
          <t>988-989</t>
        </is>
      </c>
      <c r="E37" s="18" t="inlineStr">
        <is>
          <t>991-999</t>
        </is>
      </c>
      <c r="F37" s="18" t="inlineStr">
        <is>
          <t>Se o campo de valor estiver vazio (comprimento zero), a entrada é considerada inválida e é exibida a mensagem 'The Amount entered must be numeric.'</t>
        </is>
      </c>
      <c r="G37" s="18" t="inlineStr">
        <is>
          <t>Sim</t>
        </is>
      </c>
      <c r="H37" s="18" t="inlineStr">
        <is>
          <t>Retido pelo script</t>
        </is>
      </c>
      <c r="I37" s="18" t="inlineStr">
        <is>
          <t>O comentário pergunta 'Is it greater than 0?', mas o teste é de comprimento do campo (AMTL = ZERO). O trecho abre o IF AMTI IS NUMERIC, cuja consequência está na BNK1TFN-042.</t>
        </is>
      </c>
    </row>
    <row r="38">
      <c r="A38" s="18" t="inlineStr">
        <is>
          <t>BNK1TFN-042</t>
        </is>
      </c>
      <c r="B38" s="18" t="inlineStr">
        <is>
          <t>BNK1TFN-042</t>
        </is>
      </c>
      <c r="C38" s="18" t="inlineStr">
        <is>
          <t>BNK1TFN</t>
        </is>
      </c>
      <c r="D38" s="18" t="inlineStr">
        <is>
          <t>1001</t>
        </is>
      </c>
      <c r="E38" s="18" t="inlineStr">
        <is>
          <t>1003-1021</t>
        </is>
      </c>
      <c r="F38" s="18" t="inlineStr">
        <is>
          <t>Se o valor informado for numérico e menor ou igual a zero, a entrada é considerada inválida e é exibida a mensagem 'Please supply a positive amount.'</t>
        </is>
      </c>
      <c r="G38" s="18" t="inlineStr">
        <is>
          <t>Não</t>
        </is>
      </c>
      <c r="H38" s="18" t="inlineStr">
        <is>
          <t>Retido pelo script</t>
        </is>
      </c>
      <c r="I38" s="18" t="inlineStr">
        <is>
          <t>Aplica-se só a valores inteiros (IS NUMERIC); valores com ponto decimal seguem o fluxo das BNK1TFN-043 a 048. Se o valor for numérico e maior que zero, a entrada é aceita; por ser o complemento da regra, a aceitação fica fora do gabarito, como no BNK1CRA.</t>
        </is>
      </c>
    </row>
    <row r="39">
      <c r="A39" s="18" t="inlineStr">
        <is>
          <t>BNK1TFN-043</t>
        </is>
      </c>
      <c r="B39" s="18" t="inlineStr">
        <is>
          <t>BNK1TFN-043</t>
        </is>
      </c>
      <c r="C39" s="18" t="inlineStr">
        <is>
          <t>BNK1TFN</t>
        </is>
      </c>
      <c r="D39" s="18" t="inlineStr">
        <is>
          <t>1024</t>
        </is>
      </c>
      <c r="E39" s="18" t="inlineStr">
        <is>
          <t>1026-1077</t>
        </is>
      </c>
      <c r="F39" s="18" t="inlineStr">
        <is>
          <t>Se o campo de valor for composto inteiramente de espaços, a entrada é considerada inválida e é exibida a mensagem 'The Amount entered must be numeric.'</t>
        </is>
      </c>
      <c r="G39" s="18" t="inlineStr">
        <is>
          <t>Não</t>
        </is>
      </c>
      <c r="H39" s="18" t="inlineStr">
        <is>
          <t>Retido pelo script</t>
        </is>
      </c>
      <c r="I39" s="18" t="inlineStr">
        <is>
          <t>O restante do trecho (UNSTRING, contagem de caracteres) é procedural e já aparece completo; linha [D] ignorada (depuração).</t>
        </is>
      </c>
    </row>
    <row r="40">
      <c r="A40" s="18" t="inlineStr">
        <is>
          <t>BNK1TFN-044</t>
        </is>
      </c>
      <c r="B40" s="18" t="inlineStr">
        <is>
          <t>BNK1TFN-044</t>
        </is>
      </c>
      <c r="C40" s="18" t="inlineStr">
        <is>
          <t>BNK1TFN</t>
        </is>
      </c>
      <c r="D40" s="18" t="inlineStr">
        <is>
          <t>1080-1081</t>
        </is>
      </c>
      <c r="E40" s="18" t="inlineStr">
        <is>
          <t>1083-1091</t>
        </is>
      </c>
      <c r="F40" s="18" t="inlineStr">
        <is>
          <t>Se o valor informado contiver sinal de menos, a entrada é considerada inválida e é exibida a mensagem 'Please supply a positive amount.'</t>
        </is>
      </c>
      <c r="G40" s="18" t="inlineStr">
        <is>
          <t>Não</t>
        </is>
      </c>
      <c r="H40" s="18" t="inlineStr">
        <is>
          <t>Retido pelo script</t>
        </is>
      </c>
      <c r="I40" s="18" t="inlineStr">
        <is>
          <t>Diferente do BNK1CRA, que aceita sinal '-' e trata como débito: a transferência não admite valor negativo.</t>
        </is>
      </c>
    </row>
    <row r="41">
      <c r="A41" s="18" t="inlineStr">
        <is>
          <t>BNK1TFN-045.1</t>
        </is>
      </c>
      <c r="B41" s="18" t="inlineStr">
        <is>
          <t>BNK1TFN-045</t>
        </is>
      </c>
      <c r="C41" s="18" t="inlineStr">
        <is>
          <t>BNK1TFN</t>
        </is>
      </c>
      <c r="D41" s="18" t="inlineStr">
        <is>
          <t>1094-1098</t>
        </is>
      </c>
      <c r="E41" s="18" t="inlineStr">
        <is>
          <t>1100-1120</t>
        </is>
      </c>
      <c r="F41" s="18" t="inlineStr">
        <is>
          <t>Se o valor informado contiver espaços embutidos, a entrada é considerada inválida e é exibida a mensagem 'Please supply a numeric amount without embedded spaces.'</t>
        </is>
      </c>
      <c r="G41" s="18" t="inlineStr">
        <is>
          <t>Não</t>
        </is>
      </c>
      <c r="H41" s="18" t="inlineStr">
        <is>
          <t>Retido pelo script</t>
        </is>
      </c>
      <c r="I41" s="18" t="inlineStr">
        <is>
          <t>Diferente da BNK1CRA-040: aqui a mensagem é exibida completa.</t>
        </is>
      </c>
    </row>
    <row r="42">
      <c r="A42" s="18" t="inlineStr">
        <is>
          <t>BNK1TFN-045.2</t>
        </is>
      </c>
      <c r="B42" s="18" t="inlineStr">
        <is>
          <t>BNK1TFN-045</t>
        </is>
      </c>
      <c r="C42" s="18" t="inlineStr">
        <is>
          <t>BNK1TFN</t>
        </is>
      </c>
      <c r="D42" s="18" t="inlineStr">
        <is>
          <t>1094-1098</t>
        </is>
      </c>
      <c r="E42" s="18" t="inlineStr">
        <is>
          <t>1100-1120</t>
        </is>
      </c>
      <c r="F42" s="18" t="inlineStr">
        <is>
          <t>Se o valor informado contiver caracteres diferentes de dígitos e ponto decimal, a entrada é considerada inválida e é exibida a mensagem 'Please supply a numeric amount.'</t>
        </is>
      </c>
      <c r="G42" s="18" t="inlineStr">
        <is>
          <t>Não</t>
        </is>
      </c>
      <c r="H42" s="18" t="inlineStr">
        <is>
          <t>Retido pelo script</t>
        </is>
      </c>
      <c r="I42" s="18" t="inlineStr">
        <is>
          <t>Diferente da BNK1CRA-040: aqui a mensagem é exibida completa.</t>
        </is>
      </c>
    </row>
    <row r="43">
      <c r="A43" s="18" t="inlineStr">
        <is>
          <t>BNK1TFN-046</t>
        </is>
      </c>
      <c r="B43" s="18" t="inlineStr">
        <is>
          <t>BNK1TFN-046</t>
        </is>
      </c>
      <c r="C43" s="18" t="inlineStr">
        <is>
          <t>BNK1TFN</t>
        </is>
      </c>
      <c r="D43" s="18" t="inlineStr">
        <is>
          <t>1123</t>
        </is>
      </c>
      <c r="E43" s="18" t="inlineStr">
        <is>
          <t>1125-1138</t>
        </is>
      </c>
      <c r="F43" s="18" t="inlineStr">
        <is>
          <t>Se o valor informado contiver mais de um ponto decimal, a entrada é considerada inválida e é exibida a mensagem 'Use one decimal point for amount only.'</t>
        </is>
      </c>
      <c r="G43" s="18" t="inlineStr">
        <is>
          <t>Não</t>
        </is>
      </c>
      <c r="H43" s="18" t="inlineStr">
        <is>
          <t>Retido pelo script</t>
        </is>
      </c>
      <c r="I43" s="18" t="inlineStr">
        <is>
          <t>Equivalente à BNK1CRA-041.</t>
        </is>
      </c>
    </row>
    <row r="44">
      <c r="A44" s="18" t="inlineStr">
        <is>
          <t>BNK1TFN-047</t>
        </is>
      </c>
      <c r="B44" s="18" t="inlineStr">
        <is>
          <t>BNK1TFN-047</t>
        </is>
      </c>
      <c r="C44" s="18" t="inlineStr">
        <is>
          <t>BNK1TFN</t>
        </is>
      </c>
      <c r="D44" s="18" t="inlineStr">
        <is>
          <t>1140</t>
        </is>
      </c>
      <c r="E44" s="18" t="inlineStr">
        <is>
          <t>1142-1171</t>
        </is>
      </c>
      <c r="F44" s="18" t="inlineStr">
        <is>
          <t>Se o valor informado tiver mais de duas casas decimais, a entrada é considerada inválida e é exibida a mensagem 'Only up to two decimal places are supported.'</t>
        </is>
      </c>
      <c r="G44" s="18" t="inlineStr">
        <is>
          <t>Não</t>
        </is>
      </c>
      <c r="H44" s="18" t="inlineStr">
        <is>
          <t>Retido pelo script</t>
        </is>
      </c>
      <c r="I44" s="18" t="inlineStr">
        <is>
          <t>A condição está nesta linha (IF aninhado); a mensagem e a consequência estão na BNK1TFN-048. Linhas [D] ignoradas (depuração). Equivalente à BNK1CRA-042.</t>
        </is>
      </c>
    </row>
    <row r="45">
      <c r="A45" s="18" t="inlineStr">
        <is>
          <t>DBCRFUN-010</t>
        </is>
      </c>
      <c r="B45" s="18" t="inlineStr">
        <is>
          <t>DBCRFUN-010</t>
        </is>
      </c>
      <c r="C45" s="18" t="inlineStr">
        <is>
          <t>DBCRFUN</t>
        </is>
      </c>
      <c r="D45" s="18" t="inlineStr">
        <is>
          <t>380-382</t>
        </is>
      </c>
      <c r="E45" s="18" t="inlineStr">
        <is>
          <t>384-387</t>
        </is>
      </c>
      <c r="F45" s="18" t="inlineStr">
        <is>
          <t>Se a leitura da conta for bem-sucedida e a solicitação não for negada pelas verificações anteriores, o valor da operação (negativo no débito, positivo no crédito) é somado ao saldo disponível e ao saldo atual da conta.</t>
        </is>
      </c>
      <c r="G45" s="18" t="inlineStr">
        <is>
          <t>Incompleto</t>
        </is>
      </c>
      <c r="H45" s="18" t="inlineStr">
        <is>
          <t>Reincluído</t>
        </is>
      </c>
      <c r="I45" s="18" t="inlineStr">
        <is>
          <t>Reincluída da aba Descartados (motivo do descarte: procedural, sem decisão nem tratamento de falha). O comentário fala em 'SQLCODE do SELECT OK', mas o código não contém IF: a condição é implícita, pois só se chega a este ponto se a leitura da conta foi bem-sucedida (DBCRFUN-005) e se a solicitação não foi negada pelas regras de MORTGAGE/LOAN e de saldo insuficiente (DBCRFUN-008 e 009). Regra de cálculo; sem ela o gabarito não registra a atualização de saldo em si.</t>
        </is>
      </c>
    </row>
    <row r="46">
      <c r="A46" s="18" t="inlineStr">
        <is>
          <t>XFRFUN-036</t>
        </is>
      </c>
      <c r="B46" s="18" t="inlineStr">
        <is>
          <t>XFRFUN-036</t>
        </is>
      </c>
      <c r="C46" s="18" t="inlineStr">
        <is>
          <t>XFRFUN</t>
        </is>
      </c>
      <c r="D46" s="18" t="inlineStr">
        <is>
          <t>983-984</t>
        </is>
      </c>
      <c r="E46" s="18" t="inlineStr">
        <is>
          <t>986-990</t>
        </is>
      </c>
      <c r="F46" s="18" t="inlineStr">
        <is>
          <t>Se a leitura da conta de origem for bem-sucedida, o valor da transferência é subtraído do saldo disponível e do saldo atual da conta de origem.</t>
        </is>
      </c>
      <c r="G46" s="18" t="inlineStr">
        <is>
          <t>Não</t>
        </is>
      </c>
      <c r="H46" s="18" t="inlineStr">
        <is>
          <t>Reincluído</t>
        </is>
      </c>
      <c r="I46" s="18" t="inlineStr">
        <is>
          <t>Reincluída da aba Descartados (motivo do descarte: procedural, sem decisão nem tratamento de falha). O comentário fala em 'SQLCODE OK', mas o código não contém IF: a condição é implícita, pois só se chega a este ponto se a leitura da conta de origem foi bem-sucedida (a falha sai por GO TO UADF999, linha 978). Regra de cálculo; o UPDATE seguinte (até a linha 1008) é acesso a dados e fica fora do gabarito. O trecho exibido contém só o cálculo.</t>
        </is>
      </c>
    </row>
    <row r="47">
      <c r="A47" s="18" t="inlineStr">
        <is>
          <t>XFRFUN-051</t>
        </is>
      </c>
      <c r="B47" s="18" t="inlineStr">
        <is>
          <t>XFRFUN-051</t>
        </is>
      </c>
      <c r="C47" s="18" t="inlineStr">
        <is>
          <t>XFRFUN</t>
        </is>
      </c>
      <c r="D47" s="18" t="inlineStr">
        <is>
          <t>1354-1355</t>
        </is>
      </c>
      <c r="E47" s="18" t="inlineStr">
        <is>
          <t>1357-1360</t>
        </is>
      </c>
      <c r="F47" s="18" t="inlineStr">
        <is>
          <t>Se a leitura da conta de destino for bem-sucedida, o valor da transferência é somado ao saldo disponível e ao saldo atual da conta de destino.</t>
        </is>
      </c>
      <c r="G47" s="18" t="inlineStr">
        <is>
          <t>Não</t>
        </is>
      </c>
      <c r="H47" s="18" t="inlineStr">
        <is>
          <t>Reincluído</t>
        </is>
      </c>
      <c r="I47" s="18" t="inlineStr">
        <is>
          <t>Reincluída da aba Descartados (motivo do descarte: procedural, sem decisão nem tratamento de falha). O comentário fala em 'SELECT bem-sucedido', mas o código não contém IF: a condição é implícita, pois a falha anterior termina em ABEND 'RUF2' (linhas 1345-1347). Regra de cálculo; o UPDATE seguinte (linhas 1362-1378) é acesso a dados e fica fora do gabarito. O trecho exibido contém só o cálculo.</t>
        </is>
      </c>
    </row>
  </sheetData>
  <autoFilter ref="A1:I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0"/>
  <cols>
    <col width="17.29" customWidth="1" style="16" min="1" max="1"/>
    <col width="15.43" customWidth="1" style="16" min="2" max="2"/>
    <col width="11" customWidth="1" style="16" min="3" max="4"/>
    <col width="60" customWidth="1" style="16" min="5" max="5"/>
    <col width="72" customWidth="1" style="16" min="6" max="6"/>
    <col width="15" customWidth="1" style="16" min="7" max="8"/>
    <col width="24" customWidth="1" style="16" min="9" max="9"/>
    <col width="50" customWidth="1" style="16" min="10" max="10"/>
    <col width="20" customWidth="1" style="16" min="11" max="11"/>
    <col width="12" customWidth="1" style="16" min="12" max="12"/>
    <col width="32.86" customWidth="1" style="16" min="13" max="13"/>
    <col width="15" customWidth="1" style="16" min="14" max="14"/>
    <col width="17.86" customWidth="1" style="16" min="15" max="15"/>
    <col width="20" customWidth="1" style="16" min="16" max="16"/>
  </cols>
  <sheetData>
    <row r="1" ht="60.75" customHeight="1" s="16">
      <c r="A1" s="6" t="inlineStr">
        <is>
          <t>ID</t>
        </is>
      </c>
      <c r="B1" s="6" t="inlineStr">
        <is>
          <t>Programa</t>
        </is>
      </c>
      <c r="C1" s="6" t="inlineStr">
        <is>
          <t>Linhas do comentário</t>
        </is>
      </c>
      <c r="D1" s="6" t="inlineStr">
        <is>
          <t>Linhas do código</t>
        </is>
      </c>
      <c r="E1" s="6" t="inlineStr">
        <is>
          <t>Comentário</t>
        </is>
      </c>
      <c r="F1" s="6" t="inlineStr">
        <is>
          <t>Trecho de código</t>
        </is>
      </c>
      <c r="G1" s="6" t="inlineStr">
        <is>
          <t>Tipo</t>
        </is>
      </c>
      <c r="H1" s="6" t="inlineStr">
        <is>
          <t>Estruturas</t>
        </is>
      </c>
      <c r="I1" s="6" t="inlineStr">
        <is>
          <t>Alertas</t>
        </is>
      </c>
      <c r="J1" s="6" t="inlineStr">
        <is>
          <t>Regra de negócio extraída</t>
        </is>
      </c>
      <c r="K1" s="6" t="inlineStr">
        <is>
          <t>Categoria</t>
        </is>
      </c>
      <c r="L1" s="6" t="inlineStr">
        <is>
          <t>Status</t>
        </is>
      </c>
      <c r="M1" s="6" t="inlineStr">
        <is>
          <t>Observação</t>
        </is>
      </c>
      <c r="N1" s="6" t="inlineStr">
        <is>
          <t>Qtd decisões</t>
        </is>
      </c>
      <c r="O1" s="6" t="inlineStr">
        <is>
          <t>ID atômico (sub-regra)</t>
        </is>
      </c>
      <c r="P1" s="6" t="inlineStr">
        <is>
          <t>Comentário defasado?</t>
        </is>
      </c>
      <c r="Q1" s="2" t="n"/>
      <c r="R1" s="2" t="n"/>
      <c r="S1" s="2" t="n"/>
      <c r="T1" s="2" t="n"/>
      <c r="U1" s="2" t="n"/>
      <c r="V1" s="2" t="n"/>
      <c r="W1" s="2" t="n"/>
      <c r="X1" s="2" t="n"/>
      <c r="Y1" s="2" t="n"/>
      <c r="Z1" s="2" t="n"/>
    </row>
    <row r="2" hidden="1" s="16">
      <c r="A2" s="5" t="inlineStr">
        <is>
          <t>DBCRFUN-001</t>
        </is>
      </c>
      <c r="B2" s="5" t="inlineStr">
        <is>
          <t>DBCRFUN</t>
        </is>
      </c>
      <c r="C2" s="5" t="inlineStr">
        <is>
          <t>205</t>
        </is>
      </c>
      <c r="D2" s="5" t="inlineStr">
        <is>
          <t>207-212</t>
        </is>
      </c>
      <c r="E2" s="5" t="inlineStr">
        <is>
          <t>Set up some Abend handling</t>
        </is>
      </c>
      <c r="F2" s="10" t="inlineStr">
        <is>
          <t xml:space="preserve">    EXEC CICS HANDLE ABEND
       LABEL(ABEND-HANDLING)
    END-EXEC.
    MOVE SORTCODE TO COMM-SORTC.
    MOVE SORTCODE TO DESIRED-SORT-CODE.</t>
        </is>
      </c>
      <c r="G2" s="5" t="inlineStr">
        <is>
          <t>Falha</t>
        </is>
      </c>
      <c r="H2" s="5" t="inlineStr">
        <is>
          <t>falha</t>
        </is>
      </c>
      <c r="I2" s="5" t="n"/>
      <c r="J2" s="19" t="n"/>
      <c r="K2" s="15" t="inlineStr">
        <is>
          <t>infraestrutura (excluída)</t>
        </is>
      </c>
      <c r="L2" s="14" t="inlineStr">
        <is>
          <t>Validado</t>
        </is>
      </c>
      <c r="M2" s="15" t="inlineStr">
        <is>
          <t>Configuração do tratamento de ABEND (HANDLE ABEND) e cópia do código da agência (SORTCODE), sem decisão de negócio.</t>
        </is>
      </c>
      <c r="N2" s="5" t="n">
        <v>0</v>
      </c>
      <c r="O2" s="14" t="n"/>
      <c r="P2" s="14" t="n"/>
      <c r="Q2" s="2" t="n"/>
      <c r="R2" s="2" t="n"/>
      <c r="S2" s="2" t="n"/>
      <c r="T2" s="2" t="n"/>
      <c r="U2" s="2" t="n"/>
      <c r="V2" s="2" t="n"/>
      <c r="W2" s="2" t="n"/>
      <c r="X2" s="2" t="n"/>
      <c r="Y2" s="2" t="n"/>
      <c r="Z2" s="2" t="n"/>
    </row>
    <row r="3" hidden="1" s="16">
      <c r="A3" s="5" t="inlineStr">
        <is>
          <t>DBCRFUN-005</t>
        </is>
      </c>
      <c r="B3" s="5" t="inlineStr">
        <is>
          <t>DBCRFUN</t>
        </is>
      </c>
      <c r="C3" s="5" t="inlineStr">
        <is>
          <t>276-277</t>
        </is>
      </c>
      <c r="D3" s="5" t="inlineStr">
        <is>
          <t>279-287</t>
        </is>
      </c>
      <c r="E3" s="5" t="inlineStr">
        <is>
          <t>Check that select was successful. If it wasn't then deal with it</t>
        </is>
      </c>
      <c r="F3" s="10" t="inlineStr">
        <is>
          <t xml:space="preserve">    IF SQLCODE NOT = 0
       MOVE 'N' TO COMM-SUCCESS
       IF SQLCODE = +100
          MOVE '1' TO COMM-FAIL-CODE
       ELSE
          MOVE '2' TO COMM-FAIL-CODE
       END-IF</t>
        </is>
      </c>
      <c r="G3" s="5" t="inlineStr">
        <is>
          <t>Decisão e falha</t>
        </is>
      </c>
      <c r="H3" s="5" t="inlineStr">
        <is>
          <t>IF, falha</t>
        </is>
      </c>
      <c r="I3" s="5" t="n"/>
      <c r="J3" s="15" t="inlineStr">
        <is>
          <t>Se a conta solicitada não for encontrada (SQLCODE igual a +100), a operação é sinalizada como malsucedida com o código de falha '1'.</t>
        </is>
      </c>
      <c r="K3" s="15" t="inlineStr">
        <is>
          <t>regra de negócio</t>
        </is>
      </c>
      <c r="L3" s="14" t="inlineStr">
        <is>
          <t>Validado</t>
        </is>
      </c>
      <c r="M3" s="15" t="inlineStr">
        <is>
          <t>O código '1' tem semântica de domínio. O código '2' (SQLCODE diferente de zero e de +100) corresponde a falha técnica de DB2 e não integra a regra, pelo mesmo critério da DBCRFUN-013 (infraestrutura). O IF externo termina na DBCRFUN-006 (Descartados): PERFORM CHECK-FOR-STORM-DRAIN-DB2 e GO TO UAD999 (infraestrutura).</t>
        </is>
      </c>
      <c r="N3" s="5" t="n">
        <v>2</v>
      </c>
      <c r="O3" s="14" t="n"/>
      <c r="P3" s="14" t="inlineStr">
        <is>
          <t>Não</t>
        </is>
      </c>
      <c r="Q3" s="2" t="n"/>
      <c r="R3" s="2" t="n"/>
      <c r="S3" s="2" t="n"/>
      <c r="T3" s="2" t="n"/>
      <c r="U3" s="2" t="n"/>
      <c r="V3" s="2" t="n"/>
      <c r="W3" s="2" t="n"/>
      <c r="X3" s="2" t="n"/>
      <c r="Y3" s="2" t="n"/>
      <c r="Z3" s="2" t="n"/>
    </row>
    <row r="4" hidden="1" s="16">
      <c r="A4" s="5" t="inlineStr">
        <is>
          <t>DBCRFUN-007</t>
        </is>
      </c>
      <c r="B4" s="5" t="inlineStr">
        <is>
          <t>DBCRFUN</t>
        </is>
      </c>
      <c r="C4" s="5" t="inlineStr">
        <is>
          <t>301-304</t>
        </is>
      </c>
      <c r="D4" s="5" t="inlineStr">
        <is>
          <t>307</t>
        </is>
      </c>
      <c r="E4" s="5" t="inlineStr">
        <is>
          <t>Is the amount being requested a debit or a credit? If it is a CREDIT (+) then we don't need to ensure that the available balance has sufficient funds, because this is money coming in.</t>
        </is>
      </c>
      <c r="F4" s="10" t="inlineStr">
        <is>
          <t xml:space="preserve">    IF COMM-AMT &lt; 0</t>
        </is>
      </c>
      <c r="G4" s="5" t="inlineStr">
        <is>
          <t>Decisão</t>
        </is>
      </c>
      <c r="H4" s="5" t="inlineStr">
        <is>
          <t>IF</t>
        </is>
      </c>
      <c r="I4" s="5" t="n"/>
      <c r="J4" s="15" t="inlineStr">
        <is>
          <t>Se o valor solicitado for crédito (não negativo), a suficiência do saldo disponível não é verificada.</t>
        </is>
      </c>
      <c r="K4" s="15" t="inlineStr">
        <is>
          <t>regra de negócio</t>
        </is>
      </c>
      <c r="L4" s="14" t="inlineStr">
        <is>
          <t>Validado</t>
        </is>
      </c>
      <c r="M4" s="15" t="inlineStr">
        <is>
          <t>O código contém só a condição (COMM-AMT &lt; 0); as consequências do débito estão na DBCRFUN-008. Não há ELSE: crédito e valor zero não entram no bloco. A checagem de MORTGAGE/LOAN reaparece após o END-IF (DBCRFUN-009).</t>
        </is>
      </c>
      <c r="N4" s="5" t="n">
        <v>1</v>
      </c>
      <c r="O4" s="14" t="n"/>
      <c r="P4" s="14" t="inlineStr">
        <is>
          <t>Não</t>
        </is>
      </c>
      <c r="Q4" s="2" t="n"/>
      <c r="R4" s="2" t="n"/>
      <c r="S4" s="2" t="n"/>
      <c r="T4" s="2" t="n"/>
      <c r="U4" s="2" t="n"/>
      <c r="V4" s="2" t="n"/>
      <c r="W4" s="2" t="n"/>
      <c r="X4" s="2" t="n"/>
      <c r="Y4" s="2" t="n"/>
      <c r="Z4" s="2" t="n"/>
    </row>
    <row r="5" hidden="1" s="16">
      <c r="A5" s="5" t="inlineStr">
        <is>
          <t>DBCRFUN-008</t>
        </is>
      </c>
      <c r="B5" s="5" t="inlineStr">
        <is>
          <t>DBCRFUN</t>
        </is>
      </c>
      <c r="C5" s="5" t="inlineStr">
        <is>
          <t>309-328</t>
        </is>
      </c>
      <c r="D5" s="5" t="inlineStr">
        <is>
          <t>316-352</t>
        </is>
      </c>
      <c r="E5" s="5" t="inlineStr">
        <is>
          <t>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is>
      </c>
      <c r="F5" s="10" t="inlineStr">
        <is>
          <t>[D]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is>
      </c>
      <c r="G5" s="5" t="inlineStr">
        <is>
          <t>Decisão</t>
        </is>
      </c>
      <c r="H5" s="5" t="inlineStr">
        <is>
          <t>IF</t>
        </is>
      </c>
      <c r="I5" s="5" t="inlineStr">
        <is>
          <t>comentários adjacentes fundidos; contém GO TO (desvio incondicional)</t>
        </is>
      </c>
      <c r="J5" s="15" t="inlineStr">
        <is>
          <t>1. Se o valor solicitado for um débito, a solicitação vier por pagamento (COMM-FACILTYPE igual a 496) e a conta for do tipo MORTGAGE ou LOAN, a solicitação é negada com o código de falha '4'.
2. Se o valor solicitado for um débito, a solicitação vier por pagamento (COMM-FACILTYPE igual a 496) e o saldo disponível após o débito for negativo, a solicitação é negada com o código de falha '3'.</t>
        </is>
      </c>
      <c r="K5" s="15" t="inlineStr">
        <is>
          <t>regra de negócio</t>
        </is>
      </c>
      <c r="L5" s="14" t="inlineStr">
        <is>
          <t>Validado</t>
        </is>
      </c>
      <c r="M5" s="15" t="inlineStr">
        <is>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is>
      </c>
      <c r="N5" s="5" t="n">
        <v>2</v>
      </c>
      <c r="O5" s="14" t="n"/>
      <c r="P5" s="14" t="inlineStr">
        <is>
          <t>Sim</t>
        </is>
      </c>
      <c r="Q5" s="2" t="n"/>
      <c r="R5" s="2" t="n"/>
      <c r="S5" s="2" t="n"/>
      <c r="T5" s="2" t="n"/>
      <c r="U5" s="2" t="n"/>
      <c r="V5" s="2" t="n"/>
      <c r="W5" s="2" t="n"/>
      <c r="X5" s="2" t="n"/>
      <c r="Y5" s="2" t="n"/>
      <c r="Z5" s="2" t="n"/>
    </row>
    <row r="6" hidden="1" s="16">
      <c r="A6" s="5" t="inlineStr">
        <is>
          <t>DBCRFUN-009</t>
        </is>
      </c>
      <c r="B6" s="5" t="inlineStr">
        <is>
          <t>DBCRFUN</t>
        </is>
      </c>
      <c r="C6" s="5" t="inlineStr">
        <is>
          <t>356-366</t>
        </is>
      </c>
      <c r="D6" s="5" t="inlineStr">
        <is>
          <t>368-376</t>
        </is>
      </c>
      <c r="E6" s="5" t="inlineStr">
        <is>
          <t>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is>
      </c>
      <c r="F6" s="10" t="inlineStr">
        <is>
          <t xml:space="preserve">    IF (HV-ACCOUNT-ACC-TYPE = 'MORTGAGE' AND
    COMM-FACILTYPE = 496)
    OR (HV-ACCOUNT-ACC-TYPE = 'LOAN    '
    AND COMM-FACILTYPE = 496)
       MOVE 'N' TO COMM-SUCCESS
       MOVE '4' TO COMM-FAIL-CODE
       GO TO UAD999
    END-IF.</t>
        </is>
      </c>
      <c r="G6" s="5" t="inlineStr">
        <is>
          <t>Decisão</t>
        </is>
      </c>
      <c r="H6" s="5" t="inlineStr">
        <is>
          <t>IF</t>
        </is>
      </c>
      <c r="I6" s="5" t="inlineStr">
        <is>
          <t>contém GO TO (desvio incondicional)</t>
        </is>
      </c>
      <c r="J6" s="15" t="inlineStr">
        <is>
          <t>Se a solicitação vier por pagamento (COMM-FACILTYPE igual a 496) e a conta for do tipo MORTGAGE ou LOAN, a solicitação é negada com o código de falha '4'.</t>
        </is>
      </c>
      <c r="K6" s="15" t="inlineStr">
        <is>
          <t>regra de negócio</t>
        </is>
      </c>
      <c r="L6" s="14" t="inlineStr">
        <is>
          <t>Validado</t>
        </is>
      </c>
      <c r="M6" s="15" t="inlineStr">
        <is>
          <t>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is>
      </c>
      <c r="N6" s="5" t="n">
        <v>1</v>
      </c>
      <c r="O6" s="14" t="n"/>
      <c r="P6" s="14" t="inlineStr">
        <is>
          <t>Sim</t>
        </is>
      </c>
      <c r="Q6" s="2" t="n"/>
      <c r="R6" s="2" t="n"/>
      <c r="S6" s="2" t="n"/>
      <c r="T6" s="2" t="n"/>
      <c r="U6" s="2" t="n"/>
      <c r="V6" s="2" t="n"/>
      <c r="W6" s="2" t="n"/>
      <c r="X6" s="2" t="n"/>
      <c r="Y6" s="2" t="n"/>
      <c r="Z6" s="2" t="n"/>
    </row>
    <row r="7" hidden="1" s="16">
      <c r="A7" s="5" t="inlineStr">
        <is>
          <t>DBCRFUN-012</t>
        </is>
      </c>
      <c r="B7" s="5" t="inlineStr">
        <is>
          <t>DBCRFUN</t>
        </is>
      </c>
      <c r="C7" s="5" t="inlineStr">
        <is>
          <t>411-412</t>
        </is>
      </c>
      <c r="D7" s="5" t="inlineStr">
        <is>
          <t>414-419</t>
        </is>
      </c>
      <c r="E7" s="5" t="inlineStr">
        <is>
          <t>If the rewrite was successful then we need to pass back the amended available balance and actual balance.</t>
        </is>
      </c>
      <c r="F7" s="10" t="inlineStr">
        <is>
          <t xml:space="preserve">    MOVE SQLCODE TO SQLCODE-DISPLAY.
    MOVE HV-ACCOUNT-AVAIL-BAL TO
       COMM-AV-BAL.
    MOVE HV-ACCOUNT-ACTUAL-BAL TO
       COMM-ACT-BAL.</t>
        </is>
      </c>
      <c r="G7" s="5" t="inlineStr">
        <is>
          <t>Falha</t>
        </is>
      </c>
      <c r="H7" s="5" t="inlineStr">
        <is>
          <t>falha</t>
        </is>
      </c>
      <c r="I7" s="5" t="n"/>
      <c r="J7" s="19" t="n"/>
      <c r="K7" s="15" t="inlineStr">
        <is>
          <t>infraestrutura (excluída)</t>
        </is>
      </c>
      <c r="L7" s="14" t="inlineStr">
        <is>
          <t>Validado</t>
        </is>
      </c>
      <c r="M7" s="15" t="inlineStr">
        <is>
          <t>Sem estrutura de decisão (retido por conter 'SQLCODE'). O comentário diz 'if the rewrite was successful', mas os MOVE de saldos ocorrem sem condição, antes do IF SQLCODE NOT = 0 (DBCRFUN-013): os saldos são devolvidos mesmo se a atualização falhar.</t>
        </is>
      </c>
      <c r="N7" s="5" t="n">
        <v>0</v>
      </c>
      <c r="O7" s="14" t="n"/>
      <c r="P7" s="14" t="n"/>
      <c r="Q7" s="2" t="n"/>
      <c r="R7" s="2" t="n"/>
      <c r="S7" s="2" t="n"/>
      <c r="T7" s="2" t="n"/>
      <c r="U7" s="2" t="n"/>
      <c r="V7" s="2" t="n"/>
      <c r="W7" s="2" t="n"/>
      <c r="X7" s="2" t="n"/>
      <c r="Y7" s="2" t="n"/>
      <c r="Z7" s="2" t="n"/>
    </row>
    <row r="8" hidden="1" s="16">
      <c r="A8" s="5" t="inlineStr">
        <is>
          <t>DBCRFUN-013</t>
        </is>
      </c>
      <c r="B8" s="5" t="inlineStr">
        <is>
          <t>DBCRFUN</t>
        </is>
      </c>
      <c r="C8" s="5" t="inlineStr">
        <is>
          <t>422-423</t>
        </is>
      </c>
      <c r="D8" s="5" t="inlineStr">
        <is>
          <t>425-427</t>
        </is>
      </c>
      <c r="E8" s="5" t="inlineStr">
        <is>
          <t>If the RESP CODE was NOT OK then we need to set flags accordingly</t>
        </is>
      </c>
      <c r="F8" s="10" t="inlineStr">
        <is>
          <t xml:space="preserve">    IF SQLCODE NOT = 0
       MOVE 'N' TO COMM-SUCCESS
       MOVE '2' TO COMM-FAIL-CODE</t>
        </is>
      </c>
      <c r="G8" s="5" t="inlineStr">
        <is>
          <t>Decisão e falha</t>
        </is>
      </c>
      <c r="H8" s="5" t="inlineStr">
        <is>
          <t>IF, falha</t>
        </is>
      </c>
      <c r="I8" s="5" t="n"/>
      <c r="J8" s="15" t="n"/>
      <c r="K8" s="15" t="inlineStr">
        <is>
          <t>infraestrutura (excluída)</t>
        </is>
      </c>
      <c r="L8" s="14" t="inlineStr">
        <is>
          <t>Validado</t>
        </is>
      </c>
      <c r="M8" s="15" t="inlineStr">
        <is>
          <t>Falha técnica de DB2 na atualização, excluída como infraestrutura (mesmo critério aplicado ao código '2' da DBCRFUN-005). O código '2' chega ao usuário como 'unexpected error' (BNK1CRA-025). O trecho termina antes do tratamento de storm drain (DBCRFUN-014, Descartados).</t>
        </is>
      </c>
      <c r="N8" s="5" t="n">
        <v>1</v>
      </c>
      <c r="O8" s="14" t="n"/>
      <c r="P8" s="14" t="n"/>
      <c r="Q8" s="2" t="n"/>
      <c r="R8" s="2" t="n"/>
      <c r="S8" s="2" t="n"/>
      <c r="T8" s="2" t="n"/>
      <c r="U8" s="2" t="n"/>
      <c r="V8" s="2" t="n"/>
      <c r="W8" s="2" t="n"/>
      <c r="X8" s="2" t="n"/>
      <c r="Y8" s="2" t="n"/>
      <c r="Z8" s="2" t="n"/>
    </row>
    <row r="9" hidden="1" s="16">
      <c r="A9" s="5" t="inlineStr">
        <is>
          <t>DBCRFUN-017</t>
        </is>
      </c>
      <c r="B9" s="5" t="inlineStr">
        <is>
          <t>DBCRFUN</t>
        </is>
      </c>
      <c r="C9" s="5" t="inlineStr">
        <is>
          <t>473</t>
        </is>
      </c>
      <c r="D9" s="5" t="inlineStr">
        <is>
          <t>475-493</t>
        </is>
      </c>
      <c r="E9" s="5" t="inlineStr">
        <is>
          <t>Populate the current time and date</t>
        </is>
      </c>
      <c r="F9" s="10" t="inlineStr">
        <is>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is>
      </c>
      <c r="G9" s="5" t="inlineStr">
        <is>
          <t>Decisão</t>
        </is>
      </c>
      <c r="H9" s="5" t="inlineStr">
        <is>
          <t>IF</t>
        </is>
      </c>
      <c r="I9" s="5" t="n"/>
      <c r="J9" s="19" t="n"/>
      <c r="K9" s="19" t="inlineStr">
        <is>
          <t>sem comentário próprio (excluída)</t>
        </is>
      </c>
      <c r="L9" s="14" t="inlineStr">
        <is>
          <t>Validado</t>
        </is>
      </c>
      <c r="M9" s="19" t="inlineStr">
        <is>
          <t>Decisão do ponto 5 da pauta: a regra deste trecho não é descrita por nenhum comentário (caiu neste par porque o extrator vai até o próximo comentário) e foi retirada do gabarito. Regra redigida antes da decisão: Se o valor solicitado for negativo (débito), a transação registrada recebe o tipo 'DEB' e a descrição 'COUNTER WTHDRW'. O trecho inclui ASKTIME/FORMATTIME (data e hora da transação; procedural, fora da regra). O tipo 'DEB' é sobrescrito por 'PDR' quando a solicitação vem por pagamento (DBCRFUN-018). O ELSE de crédito ('CRE') também está na 018. A condição COMM-AMT &lt; 0 repete a da DBCRFUN-007.</t>
        </is>
      </c>
      <c r="N9" s="5" t="n">
        <v>1</v>
      </c>
      <c r="O9" s="14" t="n"/>
      <c r="P9" s="14" t="n"/>
      <c r="Q9" s="2" t="n"/>
      <c r="R9" s="2" t="n"/>
      <c r="S9" s="2" t="n"/>
      <c r="T9" s="2" t="n"/>
      <c r="U9" s="2" t="n"/>
      <c r="V9" s="2" t="n"/>
      <c r="W9" s="2" t="n"/>
      <c r="X9" s="2" t="n"/>
      <c r="Y9" s="2" t="n"/>
      <c r="Z9" s="2" t="n"/>
    </row>
    <row r="10" hidden="1" s="16">
      <c r="A10" s="5" t="inlineStr">
        <is>
          <t>DBCRFUN-018</t>
        </is>
      </c>
      <c r="B10" s="5" t="inlineStr">
        <is>
          <t>DBCRFUN</t>
        </is>
      </c>
      <c r="C10" s="5" t="inlineStr">
        <is>
          <t>496</t>
        </is>
      </c>
      <c r="D10" s="5" t="inlineStr">
        <is>
          <t>498-506</t>
        </is>
      </c>
      <c r="E10" s="5" t="inlineStr">
        <is>
          <t>If it is a debit from a PAYMENT</t>
        </is>
      </c>
      <c r="F10" s="10" t="inlineStr">
        <is>
          <t xml:space="preserve">       IF COMM-FACILTYPE = 496
          MOVE 'PDR' TO HV-PROCTRAN-TYPE
          MOVE COMM-ORIGIN(1:14) TO
             HV-PROCTRAN-DESC
       END-IF
    ELSE
       MOVE 'CRE' TO HV-PROCTRAN-TYPE
       MOVE 'COUNTER RECVED' TO HV-PROCTRAN-DESC</t>
        </is>
      </c>
      <c r="G10" s="5" t="inlineStr">
        <is>
          <t>Decisão</t>
        </is>
      </c>
      <c r="H10" s="5" t="inlineStr">
        <is>
          <t>IF</t>
        </is>
      </c>
      <c r="I10" s="5" t="n"/>
      <c r="J10" s="15" t="inlineStr">
        <is>
          <t>1. Se o valor solicitado for um débito feito por pagamento (COMM-FACILTYPE igual a 496), o tipo da transação registrada passa a 'PDR' e a descrição recebe os 14 primeiros caracteres da origem (COMM-ORIGIN).
2. Se o valor solicitado for crédito (não negativo), a transação registrada recebe o tipo 'CRE' e a descrição 'COUNTER RECVED'.</t>
        </is>
      </c>
      <c r="K10" s="15" t="inlineStr">
        <is>
          <t>regra de negócio</t>
        </is>
      </c>
      <c r="L10" s="14" t="inlineStr">
        <is>
          <t>Validado</t>
        </is>
      </c>
      <c r="M10" s="15" t="inlineStr">
        <is>
          <t>O ELSE fecha o IF COMM-AMT &lt; 0 aberto na DBCRFUN-017; o comentário cobre apenas a regra 1. Linha vale por duas regras.</t>
        </is>
      </c>
      <c r="N10" s="5" t="n">
        <v>1</v>
      </c>
      <c r="O10" s="14" t="n"/>
      <c r="P10" s="14" t="inlineStr">
        <is>
          <t>Incompleto</t>
        </is>
      </c>
      <c r="Q10" s="2" t="n"/>
      <c r="R10" s="2" t="n"/>
      <c r="S10" s="2" t="n"/>
      <c r="T10" s="2" t="n"/>
      <c r="U10" s="2" t="n"/>
      <c r="V10" s="2" t="n"/>
      <c r="W10" s="2" t="n"/>
      <c r="X10" s="2" t="n"/>
      <c r="Y10" s="2" t="n"/>
      <c r="Z10" s="2" t="n"/>
    </row>
    <row r="11" hidden="1" s="16">
      <c r="A11" s="5" t="inlineStr">
        <is>
          <t>DBCRFUN-019</t>
        </is>
      </c>
      <c r="B11" s="5" t="inlineStr">
        <is>
          <t>DBCRFUN</t>
        </is>
      </c>
      <c r="C11" s="5" t="inlineStr">
        <is>
          <t>509</t>
        </is>
      </c>
      <c r="D11" s="5" t="inlineStr">
        <is>
          <t>511-519</t>
        </is>
      </c>
      <c r="E11" s="5" t="inlineStr">
        <is>
          <t>If it is a credit from a PAYMENT</t>
        </is>
      </c>
      <c r="F11" s="10" t="inlineStr">
        <is>
          <t xml:space="preserve">       IF COMM-FACILTYPE = 496
          MOVE 'PCR' TO HV-PROCTRAN-TYPE
          MOVE COMM-ORIGIN(1:14) TO
             HV-PROCTRAN-DESC
       END-IF
    END-IF.
    MOVE COMM-AMT TO HV-PROCTRAN-AMOUNT.</t>
        </is>
      </c>
      <c r="G11" s="5" t="inlineStr">
        <is>
          <t>Decisão</t>
        </is>
      </c>
      <c r="H11" s="5" t="inlineStr">
        <is>
          <t>IF</t>
        </is>
      </c>
      <c r="I11" s="5" t="n"/>
      <c r="J11" s="15" t="inlineStr">
        <is>
          <t>Se o valor solicitado for um crédito feito por pagamento (COMM-FACILTYPE igual a 496), o tipo da transação registrada passa a 'PCR' e a descrição recebe os 14 primeiros caracteres da origem (COMM-ORIGIN).</t>
        </is>
      </c>
      <c r="K11" s="15" t="inlineStr">
        <is>
          <t>regra de negócio</t>
        </is>
      </c>
      <c r="L11" s="14" t="inlineStr">
        <is>
          <t>Validado</t>
        </is>
      </c>
      <c r="M11" s="15" t="inlineStr">
        <is>
          <t>IF aninhado no ramo de crédito (ELSE da 018). O MOVE COMM-AMT TO HV-PROCTRAN-AMOUNT ao final é procedural e fica fora da regra.</t>
        </is>
      </c>
      <c r="N11" s="5" t="n">
        <v>1</v>
      </c>
      <c r="O11" s="14" t="n"/>
      <c r="P11" s="14" t="inlineStr">
        <is>
          <t>Não</t>
        </is>
      </c>
      <c r="Q11" s="2" t="n"/>
      <c r="R11" s="2" t="n"/>
      <c r="S11" s="2" t="n"/>
      <c r="T11" s="2" t="n"/>
      <c r="U11" s="2" t="n"/>
      <c r="V11" s="2" t="n"/>
      <c r="W11" s="2" t="n"/>
      <c r="X11" s="2" t="n"/>
      <c r="Y11" s="2" t="n"/>
      <c r="Z11" s="2" t="n"/>
    </row>
    <row r="12" hidden="1" s="16">
      <c r="A12" s="5" t="inlineStr">
        <is>
          <t>DBCRFUN-021</t>
        </is>
      </c>
      <c r="B12" s="5" t="inlineStr">
        <is>
          <t>DBCRFUN</t>
        </is>
      </c>
      <c r="C12" s="5" t="inlineStr">
        <is>
          <t>552</t>
        </is>
      </c>
      <c r="D12" s="5" t="inlineStr">
        <is>
          <t>554-559</t>
        </is>
      </c>
      <c r="E12" s="5" t="inlineStr">
        <is>
          <t>Check the SQLCODE</t>
        </is>
      </c>
      <c r="F12" s="10" t="inlineStr">
        <is>
          <t xml:space="preserve">    IF SQLCODE NOT = 0
       MOVE SQLCODE TO SQLCODE-DISPLAY
       DISPLAY 'UNABLE TO WRITE TO PROCTRAN DB2 DATASTORE'
       ' SQLCODE=' SQLCODE-DISPLAY
       'WITH THE FOLLOWING DATA:' HOST-PROCTRAN-ROW</t>
        </is>
      </c>
      <c r="G12" s="5" t="inlineStr">
        <is>
          <t>Decisão e falha</t>
        </is>
      </c>
      <c r="H12" s="5" t="inlineStr">
        <is>
          <t>IF, falha</t>
        </is>
      </c>
      <c r="I12" s="5" t="inlineStr">
        <is>
          <t>comentário curto</t>
        </is>
      </c>
      <c r="J12" s="19" t="n"/>
      <c r="K12" s="15" t="inlineStr">
        <is>
          <t>infraestrutura (excluída)</t>
        </is>
      </c>
      <c r="L12" s="14" t="inlineStr">
        <is>
          <t>Validado</t>
        </is>
      </c>
      <c r="M12" s="15" t="inlineStr">
        <is>
          <t>Falha na gravação em PROCTRAN (DB2): exibe diagnóstico; o rollback (022) e o ABEND (023) completam o tratamento. Falha técnica, fora do escopo pelo critério de infraestrutura. O efeito (operação desfeita se o registro falhar) é regra de consistência.</t>
        </is>
      </c>
      <c r="N12" s="5" t="n">
        <v>1</v>
      </c>
      <c r="O12" s="14" t="n"/>
      <c r="P12" s="14" t="n"/>
      <c r="Q12" s="2" t="n"/>
      <c r="R12" s="2" t="n"/>
      <c r="S12" s="2" t="n"/>
      <c r="T12" s="2" t="n"/>
      <c r="U12" s="2" t="n"/>
      <c r="V12" s="2" t="n"/>
      <c r="W12" s="2" t="n"/>
      <c r="X12" s="2" t="n"/>
      <c r="Y12" s="2" t="n"/>
      <c r="Z12" s="2" t="n"/>
    </row>
    <row r="13" hidden="1" s="16">
      <c r="A13" s="5" t="inlineStr">
        <is>
          <t>DBCRFUN-022</t>
        </is>
      </c>
      <c r="B13" s="5" t="inlineStr">
        <is>
          <t>DBCRFUN</t>
        </is>
      </c>
      <c r="C13" s="5" t="inlineStr">
        <is>
          <t>561-562</t>
        </is>
      </c>
      <c r="D13" s="5" t="inlineStr">
        <is>
          <t>564-569</t>
        </is>
      </c>
      <c r="E13" s="5" t="inlineStr">
        <is>
          <t>You need to issue a ROLLBACK to get rid of the updated ACCOUNT record</t>
        </is>
      </c>
      <c r="F13" s="10" t="inlineStr">
        <is>
          <t xml:space="preserve">       EXEC CICS SYNCPOINT ROLLBACK
          RESP(WS-CICS-RESP)
          RESP2(WS-CICS-RESP2)
       END-EXEC
       IF WS-CICS-RESP NOT = DFHRESP(NORMAL)</t>
        </is>
      </c>
      <c r="G13" s="5" t="inlineStr">
        <is>
          <t>Decisão e falha</t>
        </is>
      </c>
      <c r="H13" s="5" t="inlineStr">
        <is>
          <t>IF, falha</t>
        </is>
      </c>
      <c r="I13" s="5" t="n"/>
      <c r="J13" s="19" t="n"/>
      <c r="K13" s="15" t="inlineStr">
        <is>
          <t>infraestrutura (excluída)</t>
        </is>
      </c>
      <c r="L13" s="14" t="inlineStr">
        <is>
          <t>Validado</t>
        </is>
      </c>
      <c r="M13" s="15" t="inlineStr">
        <is>
          <t>Rollback da atualização da conta (SYNCPOINT ROLLBACK) e verificação do RESP; infraestrutura transacional.</t>
        </is>
      </c>
      <c r="N13" s="5" t="n">
        <v>1</v>
      </c>
      <c r="O13" s="14" t="n"/>
      <c r="P13" s="14" t="n"/>
      <c r="Q13" s="2" t="n"/>
      <c r="R13" s="2" t="n"/>
      <c r="S13" s="2" t="n"/>
      <c r="T13" s="2" t="n"/>
      <c r="U13" s="2" t="n"/>
      <c r="V13" s="2" t="n"/>
      <c r="W13" s="2" t="n"/>
      <c r="X13" s="2" t="n"/>
      <c r="Y13" s="2" t="n"/>
      <c r="Z13" s="2" t="n"/>
    </row>
    <row r="14" hidden="1" s="16">
      <c r="A14" s="5" t="inlineStr">
        <is>
          <t>DBCRFUN-023</t>
        </is>
      </c>
      <c r="B14" s="5" t="inlineStr">
        <is>
          <t>DBCRFUN</t>
        </is>
      </c>
      <c r="C14" s="5" t="inlineStr">
        <is>
          <t>571-574</t>
        </is>
      </c>
      <c r="D14" s="5" t="inlineStr">
        <is>
          <t>576-578</t>
        </is>
      </c>
      <c r="E14" s="5" t="inlineStr">
        <is>
          <t>Preserve the RESP and RESP2, then set up the standard ABEND info before getting the applid, date/time etc. and linking to the Abend Handler program.</t>
        </is>
      </c>
      <c r="F14" s="10" t="inlineStr">
        <is>
          <t xml:space="preserve">          INITIALIZE ABNDINFO-REC
          MOVE EIBRESP    TO ABND-RESPCODE
          MOVE EIBRESP2   TO ABND-RESP2CODE</t>
        </is>
      </c>
      <c r="G14" s="5" t="inlineStr">
        <is>
          <t>Falha</t>
        </is>
      </c>
      <c r="H14" s="5" t="inlineStr">
        <is>
          <t>falha</t>
        </is>
      </c>
      <c r="I14" s="5" t="n"/>
      <c r="J14" s="19" t="n"/>
      <c r="K14" s="15" t="inlineStr">
        <is>
          <t>infraestrutura (excluída)</t>
        </is>
      </c>
      <c r="L14" s="14" t="inlineStr">
        <is>
          <t>Validado</t>
        </is>
      </c>
      <c r="M14" s="15" t="inlineStr">
        <is>
          <t>Montagem padrão das informações de ABEND (INITIALIZE ABNDINFO-REC; MOVE EIBRESP/EIBRESP2); tratamento técnico sem semântica bancária.</t>
        </is>
      </c>
      <c r="N14" s="5" t="n">
        <v>0</v>
      </c>
      <c r="O14" s="14" t="n"/>
      <c r="P14" s="14" t="n"/>
      <c r="Q14" s="2" t="n"/>
      <c r="R14" s="2" t="n"/>
      <c r="S14" s="2" t="n"/>
      <c r="T14" s="2" t="n"/>
      <c r="U14" s="2" t="n"/>
      <c r="V14" s="2" t="n"/>
      <c r="W14" s="2" t="n"/>
      <c r="X14" s="2" t="n"/>
      <c r="Y14" s="2" t="n"/>
      <c r="Z14" s="2" t="n"/>
    </row>
    <row r="15" hidden="1" s="16">
      <c r="A15" s="5" t="inlineStr">
        <is>
          <t>DBCRFUN-024</t>
        </is>
      </c>
      <c r="B15" s="5" t="inlineStr">
        <is>
          <t>DBCRFUN</t>
        </is>
      </c>
      <c r="C15" s="5" t="inlineStr">
        <is>
          <t>580</t>
        </is>
      </c>
      <c r="D15" s="5" t="inlineStr">
        <is>
          <t>582-637</t>
        </is>
      </c>
      <c r="E15" s="5" t="inlineStr">
        <is>
          <t>Get supplemental information</t>
        </is>
      </c>
      <c r="F15"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
          EXEC CICS LINK PROGRAM(WS-ABEND-PGM)
                    COMMAREA(ABNDINFO-REC)
          END-EXEC
          DISPLAY ' COULD NOT ROLL BACK, POSSIBLE DATA '
             'INTEGRITY ISSUE BETWEEN ACCOUNT AND PROCTRAN '
             'FOR ROW:' HOST-PROCTRAN-ROW
             'RESP CODE=' WS-CICS-RESP ' RESP2 CODE='
             WS-CICS-RESP2
          EXEC CICS ABEND
             ABCODE ('HROL')
             CANCEL
          END-EXEC
       END-IF
       MOVE 'N' TO COMM-SUCCESS
       MOVE '02' TO COMM-FAIL-CODE</t>
        </is>
      </c>
      <c r="G15" s="5" t="inlineStr">
        <is>
          <t>Falha</t>
        </is>
      </c>
      <c r="H15" s="5" t="inlineStr">
        <is>
          <t>falha</t>
        </is>
      </c>
      <c r="I15" s="5" t="inlineStr">
        <is>
          <t>comentário curto</t>
        </is>
      </c>
      <c r="J15" s="15" t="n"/>
      <c r="K15" s="15" t="inlineStr">
        <is>
          <t>infraestrutura (excluída)</t>
        </is>
      </c>
      <c r="L15" s="15" t="inlineStr">
        <is>
          <t>Validado</t>
        </is>
      </c>
      <c r="M15" s="15" t="inlineStr">
        <is>
          <t>Coleta de informações complementares de ABEND (PERFORM POPULATE-TIME-DATE, LINK ao tratador de ABEND, ABEND); tratamento técnico sem semântica bancária. Estava como 'Manter descartado' na planilha anterior; o script agora o retém por conter ABEND (antes o trecho era cortado antes dele).</t>
        </is>
      </c>
      <c r="N15" s="5" t="n">
        <v>0</v>
      </c>
      <c r="O15" s="14" t="n"/>
      <c r="P15" s="14" t="n"/>
      <c r="Q15" s="2" t="n"/>
      <c r="R15" s="2" t="n"/>
      <c r="S15" s="2" t="n"/>
      <c r="T15" s="2" t="n"/>
      <c r="U15" s="2" t="n"/>
      <c r="V15" s="2" t="n"/>
      <c r="W15" s="2" t="n"/>
      <c r="X15" s="2" t="n"/>
      <c r="Y15" s="2" t="n"/>
      <c r="Z15" s="2" t="n"/>
    </row>
    <row r="16" hidden="1" s="16">
      <c r="A16" s="5" t="inlineStr">
        <is>
          <t>DBCRFUN-026</t>
        </is>
      </c>
      <c r="B16" s="5" t="inlineStr">
        <is>
          <t>DBCRFUN</t>
        </is>
      </c>
      <c r="C16" s="5" t="inlineStr">
        <is>
          <t>647</t>
        </is>
      </c>
      <c r="D16" s="5" t="inlineStr">
        <is>
          <t>644; 649-669</t>
        </is>
      </c>
      <c r="E16" s="5" t="inlineStr">
        <is>
          <t>If the WRITE to PROCTRAN worked then it was a success</t>
        </is>
      </c>
      <c r="F16" s="10" t="inlineStr">
        <is>
          <t>[cab.]     ELSE
       MOVE 'Y' TO COMM-SUCCESS
       MOVE '0' TO COMM-FAIL-CODE
    END-IF.
WTPD999.
    EXIT.
GET-ME-OUT-OF-HERE SECTION.
GMOOH010.
    EXEC CICS RETURN
    END-EXEC.
    GOBACK.
GMOOH999.
    EXIT.
CHECK-FOR-STORM-DRAIN-DB2 SECTION.
CFSDD010.</t>
        </is>
      </c>
      <c r="G16" s="5" t="inlineStr">
        <is>
          <t>Decisão</t>
        </is>
      </c>
      <c r="H16" s="5" t="inlineStr">
        <is>
          <t>ELSE (cabeçalho)</t>
        </is>
      </c>
      <c r="I16" s="5" t="inlineStr">
        <is>
          <t>decisão no cabeçalho anterior ao comentário (linha 644)</t>
        </is>
      </c>
      <c r="J16" s="19" t="n"/>
      <c r="K16" s="19" t="inlineStr">
        <is>
          <t>infraestrutura (excluída)</t>
        </is>
      </c>
      <c r="L16" s="15" t="inlineStr">
        <is>
          <t>Validado</t>
        </is>
      </c>
      <c r="M16" s="19" t="inlineStr">
        <is>
          <t>Decisão posterior à reunião, pela mesma lógica do XFRFUN-032 (ponto 3): a sinalização de sucesso após a gravação em PROCTRAN é detalhe de código. Critério definido com o orientador: regra de negócio é o que a área de negócio (gerente ou cliente do banco) entende; detalhe de código fica fora. Regra redigida antes da decisão: Se a gravação em PROCTRAN for bem-sucedida, a operação é sinalizada como bem-sucedida (COMM-SUCCESS igual a 'Y') com o código de falha '0'. Reincluída da aba Descartados (motivo do descarte: procedural, sem decisão nem tratamento de falha). Ramo ELSE do IF SQLCODE NOT = 0 da gravação em PROCTRAN (ramo de falha na DBCRFUN-021, classificado como infraestrutura). É o único ponto em que COMM-SUCCESS recebe 'Y': o sucesso da operação depende da gravação do registro. O trecho extraído inclui as seções seguintes (GET-ME-OUT-OF-HERE e CHECK-FOR-STORM-DRAIN-DB2), por corte do extrator; ficam fora da regra.</t>
        </is>
      </c>
      <c r="N16" s="5" t="n">
        <v>1</v>
      </c>
      <c r="O16" s="14" t="n"/>
      <c r="P16" s="14" t="n"/>
      <c r="Q16" s="2" t="n"/>
      <c r="R16" s="2" t="n"/>
      <c r="S16" s="2" t="n"/>
      <c r="T16" s="2" t="n"/>
      <c r="U16" s="2" t="n"/>
      <c r="V16" s="2" t="n"/>
      <c r="W16" s="2" t="n"/>
      <c r="X16" s="2" t="n"/>
      <c r="Y16" s="2" t="n"/>
      <c r="Z16" s="2" t="n"/>
    </row>
    <row r="17" hidden="1" s="16">
      <c r="A17" s="5" t="inlineStr">
        <is>
          <t>DBCRFUN-027</t>
        </is>
      </c>
      <c r="B17" s="5" t="inlineStr">
        <is>
          <t>DBCRFUN</t>
        </is>
      </c>
      <c r="C17" s="5" t="inlineStr">
        <is>
          <t>671-672</t>
        </is>
      </c>
      <c r="D17" s="5" t="inlineStr">
        <is>
          <t>675-695</t>
        </is>
      </c>
      <c r="E17" s="5" t="inlineStr">
        <is>
          <t>Check if the Sqclode that is returned one that will trigger Storm Drain is active in Workload</t>
        </is>
      </c>
      <c r="F17" s="10" t="inlineStr">
        <is>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is>
      </c>
      <c r="G17" s="5" t="inlineStr">
        <is>
          <t>Decisão e falha</t>
        </is>
      </c>
      <c r="H17" s="5" t="inlineStr">
        <is>
          <t>IF, EVALUATE, WHEN, falha</t>
        </is>
      </c>
      <c r="I17" s="5" t="n"/>
      <c r="J17" s="19" t="n"/>
      <c r="K17" s="15" t="inlineStr">
        <is>
          <t>infraestrutura (excluída)</t>
        </is>
      </c>
      <c r="L17" s="14" t="inlineStr">
        <is>
          <t>Validado</t>
        </is>
      </c>
      <c r="M17" s="15" t="inlineStr">
        <is>
          <t>Verificação de condição de storm drain do DB2 (EVALUATE SQLCODE, WHEN 923); infraestrutura.</t>
        </is>
      </c>
      <c r="N17" s="5" t="n">
        <v>4</v>
      </c>
      <c r="O17" s="14" t="n"/>
      <c r="P17" s="14" t="n"/>
      <c r="Q17" s="2" t="n"/>
      <c r="R17" s="2" t="n"/>
      <c r="S17" s="2" t="n"/>
      <c r="T17" s="2" t="n"/>
      <c r="U17" s="2" t="n"/>
      <c r="V17" s="2" t="n"/>
      <c r="W17" s="2" t="n"/>
      <c r="X17" s="2" t="n"/>
      <c r="Y17" s="2" t="n"/>
      <c r="Z17" s="2" t="n"/>
    </row>
    <row r="18" hidden="1" s="16">
      <c r="A18" s="5" t="inlineStr">
        <is>
          <t>DBCRFUN-029</t>
        </is>
      </c>
      <c r="B18" s="5" t="inlineStr">
        <is>
          <t>DBCRFUN</t>
        </is>
      </c>
      <c r="C18" s="5" t="inlineStr">
        <is>
          <t>708-713</t>
        </is>
      </c>
      <c r="D18" s="5" t="inlineStr">
        <is>
          <t>716</t>
        </is>
      </c>
      <c r="E18" s="5" t="inlineStr">
        <is>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is>
      </c>
      <c r="F18" s="10" t="inlineStr">
        <is>
          <t xml:space="preserve">    EVALUATE MY-ABEND-CODE</t>
        </is>
      </c>
      <c r="G18" s="5" t="inlineStr">
        <is>
          <t>Decisão</t>
        </is>
      </c>
      <c r="H18" s="5" t="inlineStr">
        <is>
          <t>EVALUATE</t>
        </is>
      </c>
      <c r="I18" s="5" t="n"/>
      <c r="J18" s="19" t="n"/>
      <c r="K18" s="15" t="inlineStr">
        <is>
          <t>infraestrutura (excluída)</t>
        </is>
      </c>
      <c r="L18" s="14" t="inlineStr">
        <is>
          <t>Validado</t>
        </is>
      </c>
      <c r="M18" s="15" t="inlineStr">
        <is>
          <t>Avaliação do código de ABEND (EVALUATE MY-ABEND-CODE) para diagnóstico e storm drain de DB2 e VSAM; infraestrutura.</t>
        </is>
      </c>
      <c r="N18" s="5" t="n">
        <v>1</v>
      </c>
      <c r="O18" s="14" t="n"/>
      <c r="P18" s="14" t="n"/>
      <c r="Q18" s="2" t="n"/>
      <c r="R18" s="2" t="n"/>
      <c r="S18" s="2" t="n"/>
      <c r="T18" s="2" t="n"/>
      <c r="U18" s="2" t="n"/>
      <c r="V18" s="2" t="n"/>
      <c r="W18" s="2" t="n"/>
      <c r="X18" s="2" t="n"/>
      <c r="Y18" s="2" t="n"/>
      <c r="Z18" s="2" t="n"/>
    </row>
    <row r="19" hidden="1" s="16">
      <c r="A19" s="5" t="inlineStr">
        <is>
          <t>DBCRFUN-030</t>
        </is>
      </c>
      <c r="B19" s="5" t="inlineStr">
        <is>
          <t>DBCRFUN</t>
        </is>
      </c>
      <c r="C19" s="5" t="inlineStr">
        <is>
          <t>718</t>
        </is>
      </c>
      <c r="D19" s="5" t="inlineStr">
        <is>
          <t>720-735</t>
        </is>
      </c>
      <c r="E19" s="5" t="inlineStr">
        <is>
          <t>DB2 AD2Z abend</t>
        </is>
      </c>
      <c r="F19" s="10" t="inlineStr">
        <is>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is>
      </c>
      <c r="G19" s="5" t="inlineStr">
        <is>
          <t>Decisão e falha</t>
        </is>
      </c>
      <c r="H19" s="5" t="inlineStr">
        <is>
          <t>WHEN, falha</t>
        </is>
      </c>
      <c r="I19" s="5" t="inlineStr">
        <is>
          <t>comentário curto</t>
        </is>
      </c>
      <c r="J19" s="19" t="n"/>
      <c r="K19" s="15" t="inlineStr">
        <is>
          <t>infraestrutura (excluída)</t>
        </is>
      </c>
      <c r="L19" s="14" t="inlineStr">
        <is>
          <t>Validado</t>
        </is>
      </c>
      <c r="M19" s="15" t="inlineStr">
        <is>
          <t>Tratamento do ABEND AD2Z (deadlock DB2) com exibição de diagnósticos; infraestrutura.</t>
        </is>
      </c>
      <c r="N19" s="5" t="n">
        <v>1</v>
      </c>
      <c r="O19" s="14" t="n"/>
      <c r="P19" s="14" t="n"/>
      <c r="Q19" s="2" t="n"/>
      <c r="R19" s="2" t="n"/>
      <c r="S19" s="2" t="n"/>
      <c r="T19" s="2" t="n"/>
      <c r="U19" s="2" t="n"/>
      <c r="V19" s="2" t="n"/>
      <c r="W19" s="2" t="n"/>
      <c r="X19" s="2" t="n"/>
      <c r="Y19" s="2" t="n"/>
      <c r="Z19" s="2" t="n"/>
    </row>
    <row r="20" hidden="1" s="16">
      <c r="A20" s="5" t="inlineStr">
        <is>
          <t>DBCRFUN-031</t>
        </is>
      </c>
      <c r="B20" s="5" t="inlineStr">
        <is>
          <t>DBCRFUN</t>
        </is>
      </c>
      <c r="C20" s="5" t="inlineStr">
        <is>
          <t>738-740</t>
        </is>
      </c>
      <c r="D20" s="5" t="inlineStr">
        <is>
          <t>742-756</t>
        </is>
      </c>
      <c r="E20" s="5" t="inlineStr">
        <is>
          <t>VSAM RLS abends, subject to CPSM WLM Storm Drain check if handled (as here) and Workload Abend Thresholds are set.</t>
        </is>
      </c>
      <c r="F20" s="10" t="inlineStr">
        <is>
          <t xml:space="preserve">       WHEN 'AFCR'
       WHEN 'AFCS'
       WHEN 'AFCT'
          MOVE 'Y' TO WS-STORM-DRAIN
          DISPLAY 'DBCRFUN: Check-For-Storm-Drain-VSAM: Storm '
                 'Drain condition (Abend ' MY-ABEND-CODE ') '
                 'has been met.'
          EXEC CICS SYNCPOINT
             ROLLBACK
             RESP(WS-CICS-RESP)
             RESP2(WS-CICS-RESP2)
          END-EXEC
          IF WS-CICS-RESP NOT = DFHRESP(NORMAL)</t>
        </is>
      </c>
      <c r="G20" s="5" t="inlineStr">
        <is>
          <t>Decisão e falha</t>
        </is>
      </c>
      <c r="H20" s="5" t="inlineStr">
        <is>
          <t>IF, WHEN, falha</t>
        </is>
      </c>
      <c r="I20" s="5" t="n"/>
      <c r="J20" s="19" t="n"/>
      <c r="K20" s="15" t="inlineStr">
        <is>
          <t>infraestrutura (excluída)</t>
        </is>
      </c>
      <c r="L20" s="14" t="inlineStr">
        <is>
          <t>Validado</t>
        </is>
      </c>
      <c r="M20" s="15" t="inlineStr">
        <is>
          <t>Tratamento dos ABEND AFCR, AFCS e AFCT (VSAM RLS, storm drain) com rollback; infraestrutura.</t>
        </is>
      </c>
      <c r="N20" s="5" t="n">
        <v>4</v>
      </c>
      <c r="O20" s="14" t="n"/>
      <c r="P20" s="14" t="n"/>
      <c r="Q20" s="2" t="n"/>
      <c r="R20" s="2" t="n"/>
      <c r="S20" s="2" t="n"/>
      <c r="T20" s="2" t="n"/>
      <c r="U20" s="2" t="n"/>
      <c r="V20" s="2" t="n"/>
      <c r="W20" s="2" t="n"/>
      <c r="X20" s="2" t="n"/>
      <c r="Y20" s="2" t="n"/>
      <c r="Z20" s="2" t="n"/>
    </row>
    <row r="21" hidden="1" s="16">
      <c r="A21" s="5" t="inlineStr">
        <is>
          <t>DBCRFUN-032</t>
        </is>
      </c>
      <c r="B21" s="5" t="inlineStr">
        <is>
          <t>DBCRFUN</t>
        </is>
      </c>
      <c r="C21" s="5" t="inlineStr">
        <is>
          <t>758-761</t>
        </is>
      </c>
      <c r="D21" s="5" t="inlineStr">
        <is>
          <t>763-765</t>
        </is>
      </c>
      <c r="E21" s="5" t="inlineStr">
        <is>
          <t>Preserve the RESP and RESP2, then set up the standard ABEND info before getting the applid, date/time etc. and linking to the Abend Handler program.</t>
        </is>
      </c>
      <c r="F21" s="10" t="inlineStr">
        <is>
          <t xml:space="preserve">             INITIALIZE ABNDINFO-REC
             MOVE EIBRESP    TO ABND-RESPCODE
             MOVE EIBRESP2   TO ABND-RESP2CODE</t>
        </is>
      </c>
      <c r="G21" s="5" t="inlineStr">
        <is>
          <t>Falha</t>
        </is>
      </c>
      <c r="H21" s="5" t="inlineStr">
        <is>
          <t>falha</t>
        </is>
      </c>
      <c r="I21" s="5" t="n"/>
      <c r="J21" s="19" t="n"/>
      <c r="K21" s="15" t="inlineStr">
        <is>
          <t>infraestrutura (excluída)</t>
        </is>
      </c>
      <c r="L21" s="14" t="inlineStr">
        <is>
          <t>Validado</t>
        </is>
      </c>
      <c r="M21" s="15" t="inlineStr">
        <is>
          <t>Montagem padrão das informações de ABEND (INITIALIZE ABNDINFO-REC; MOVE EIBRESP/EIBRESP2); tratamento técnico sem semântica bancária.</t>
        </is>
      </c>
      <c r="N21" s="5" t="n">
        <v>0</v>
      </c>
      <c r="O21" s="14" t="n"/>
      <c r="P21" s="14" t="n"/>
      <c r="Q21" s="2" t="n"/>
      <c r="R21" s="2" t="n"/>
      <c r="S21" s="2" t="n"/>
      <c r="T21" s="2" t="n"/>
      <c r="U21" s="2" t="n"/>
      <c r="V21" s="2" t="n"/>
      <c r="W21" s="2" t="n"/>
      <c r="X21" s="2" t="n"/>
      <c r="Y21" s="2" t="n"/>
      <c r="Z21" s="2" t="n"/>
    </row>
    <row r="22" hidden="1" s="16">
      <c r="A22" s="5" t="inlineStr">
        <is>
          <t>DBCRFUN-033</t>
        </is>
      </c>
      <c r="B22" s="5" t="inlineStr">
        <is>
          <t>DBCRFUN</t>
        </is>
      </c>
      <c r="C22" s="5" t="inlineStr">
        <is>
          <t>767</t>
        </is>
      </c>
      <c r="D22" s="5" t="inlineStr">
        <is>
          <t>769-861</t>
        </is>
      </c>
      <c r="E22" s="5" t="inlineStr">
        <is>
          <t>Get supplemental information</t>
        </is>
      </c>
      <c r="F22"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
             EXEC CICS LINK PROGRAM(WS-ABEND-PGM)
                    COMMAREA(ABNDINFO-REC)
             END-EXEC
             DISPLAY 'DBCRFUN: Unable to perform Synpoint '
                'Rollback.'
                ' Possible Integrity issue following VSAM RLS'
                ' abend'
                ' RESP CODE=' WS-CICS-RESP
                ' RESP2 CODE=' WS-CICS-RESP2
             EXEC CICS ABEND
                ABCODE ('HROL')
                CANCEL
             END-EXEC
          END-IF
          MOVE 'N' TO COMM-SUCCESS
          MOVE '2' TO COMM-FAIL-CODE
          EXEC CICS RETURN
          END-EXEC
    END-EVALUATE.
    IF WS-STORM-DRAIN = 'N'</t>
        </is>
      </c>
      <c r="G22" s="5" t="inlineStr">
        <is>
          <t>Decisão e falha</t>
        </is>
      </c>
      <c r="H22" s="5" t="inlineStr">
        <is>
          <t>IF, falha</t>
        </is>
      </c>
      <c r="I22" s="5" t="inlineStr">
        <is>
          <t>comentário curto; trecho truncado (exibidas 50 de 71 linhas)</t>
        </is>
      </c>
      <c r="J22" s="19" t="n"/>
      <c r="K22" s="15" t="inlineStr">
        <is>
          <t>infraestrutura (excluída)</t>
        </is>
      </c>
      <c r="L22" s="15" t="inlineStr">
        <is>
          <t>Validado</t>
        </is>
      </c>
      <c r="M22" s="15" t="inlineStr">
        <is>
          <t>Coleta de informações complementares de ABEND (PERFORM POPULATE-TIME-DATE, LINK ao tratador de ABEND, ABEND); tratamento técnico sem semântica bancária. Inclui a verificação de storm drain (IF WS-STORM-DRAIN = 'N' seguido de ABEND), que você definiu como infraestrutura. Exibidas 50 de 71 linhas; final do trecho conferido no fonte (linhas 769-861): tratamento de ABEND, storm drain e rotina de data e hora, sem regra de negócio. Estava como 'Manter descartado' na planilha anterior.</t>
        </is>
      </c>
      <c r="N22" s="5" t="n">
        <v>1</v>
      </c>
      <c r="O22" s="14" t="n"/>
      <c r="P22" s="14" t="n"/>
      <c r="Q22" s="2" t="n"/>
      <c r="R22" s="2" t="n"/>
      <c r="S22" s="2" t="n"/>
      <c r="T22" s="2" t="n"/>
      <c r="U22" s="2" t="n"/>
      <c r="V22" s="2" t="n"/>
      <c r="W22" s="2" t="n"/>
      <c r="X22" s="2" t="n"/>
      <c r="Y22" s="2" t="n"/>
      <c r="Z22" s="2" t="n"/>
    </row>
    <row r="23" hidden="1" s="16">
      <c r="A23" s="5" t="inlineStr">
        <is>
          <t>XFRFUN-001</t>
        </is>
      </c>
      <c r="B23" s="5" t="inlineStr">
        <is>
          <t>XFRFUN</t>
        </is>
      </c>
      <c r="C23" s="5" t="inlineStr">
        <is>
          <t>286-287</t>
        </is>
      </c>
      <c r="D23" s="5" t="inlineStr">
        <is>
          <t>289-296</t>
        </is>
      </c>
      <c r="E23" s="5" t="inlineStr">
        <is>
          <t>If the amount being transferred is negative, then flag this as a failure and finish.</t>
        </is>
      </c>
      <c r="F23" s="10" t="inlineStr">
        <is>
          <t xml:space="preserve">    IF COMM-AMT &lt;= ZERO
      MOVE 'N' TO COMM-SUCCESS
      MOVE '4' TO COMM-FAIL-CODE
      PERFORM GET-ME-OUT-OF-HERE
    END-IF.
    PERFORM UPDATE-ACCOUNT-DB2</t>
        </is>
      </c>
      <c r="G23" s="5" t="inlineStr">
        <is>
          <t>Decisão</t>
        </is>
      </c>
      <c r="H23" s="5" t="inlineStr">
        <is>
          <t>IF</t>
        </is>
      </c>
      <c r="I23" s="5" t="n"/>
      <c r="J23" s="15" t="inlineStr">
        <is>
          <t>Se o valor a transferir for menor ou igual a zero, a transferência é negada e a operação é sinalizada como malsucedida com o código de falha '4'.</t>
        </is>
      </c>
      <c r="K23" s="15" t="inlineStr">
        <is>
          <t>regra de negócio</t>
        </is>
      </c>
      <c r="L23" s="15" t="inlineStr">
        <is>
          <t>Validado</t>
        </is>
      </c>
      <c r="M23" s="15" t="inlineStr">
        <is>
          <t>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is>
      </c>
      <c r="N23" s="5" t="n">
        <v>1</v>
      </c>
      <c r="O23" s="14" t="n"/>
      <c r="P23" s="14" t="inlineStr">
        <is>
          <t>Incompleto</t>
        </is>
      </c>
      <c r="Q23" s="2" t="n"/>
      <c r="R23" s="2" t="n"/>
      <c r="S23" s="2" t="n"/>
      <c r="T23" s="2" t="n"/>
      <c r="U23" s="2" t="n"/>
      <c r="V23" s="2" t="n"/>
      <c r="W23" s="2" t="n"/>
      <c r="X23" s="2" t="n"/>
      <c r="Y23" s="2" t="n"/>
      <c r="Z23" s="2" t="n"/>
    </row>
    <row r="24" hidden="1" s="16">
      <c r="A24" s="5" t="inlineStr">
        <is>
          <t>XFRFUN-003</t>
        </is>
      </c>
      <c r="B24" s="5" t="inlineStr">
        <is>
          <t>XFRFUN</t>
        </is>
      </c>
      <c r="C24" s="5" t="inlineStr">
        <is>
          <t>313-314</t>
        </is>
      </c>
      <c r="D24" s="5" t="inlineStr">
        <is>
          <t>316-317</t>
        </is>
      </c>
      <c r="E24" s="5" t="inlineStr">
        <is>
          <t>Are we trying to transfer from and to the same account? We don't allow that.</t>
        </is>
      </c>
      <c r="F24" s="10" t="inlineStr">
        <is>
          <t xml:space="preserve">    IF COMM-FACCNO = COMM-TACCNO
       AND COMM-FSCODE = COMM-TSCODE</t>
        </is>
      </c>
      <c r="G24" s="5" t="inlineStr">
        <is>
          <t>Decisão</t>
        </is>
      </c>
      <c r="H24" s="5" t="inlineStr">
        <is>
          <t>IF</t>
        </is>
      </c>
      <c r="I24" s="5" t="n"/>
      <c r="J24" s="15" t="inlineStr">
        <is>
          <t>Se a conta de origem e a conta de destino forem a mesma (mesmo número e mesmo código de agência), a transferência não é permitida e o programa é encerrado com ABEND de código 'SAME'.</t>
        </is>
      </c>
      <c r="K24" s="15" t="inlineStr">
        <is>
          <t>regra de negócio</t>
        </is>
      </c>
      <c r="L24" s="15" t="inlineStr">
        <is>
          <t>Validado</t>
        </is>
      </c>
      <c r="M24" s="15" t="inlineStr">
        <is>
          <t>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is>
      </c>
      <c r="N24" s="5" t="n">
        <v>1</v>
      </c>
      <c r="O24" s="14" t="n"/>
      <c r="P24" s="14" t="inlineStr">
        <is>
          <t>Não</t>
        </is>
      </c>
      <c r="Q24" s="2" t="n"/>
      <c r="R24" s="2" t="n"/>
      <c r="S24" s="2" t="n"/>
      <c r="T24" s="2" t="n"/>
      <c r="U24" s="2" t="n"/>
      <c r="V24" s="2" t="n"/>
      <c r="W24" s="2" t="n"/>
      <c r="X24" s="2" t="n"/>
      <c r="Y24" s="2" t="n"/>
      <c r="Z24" s="2" t="n"/>
    </row>
    <row r="25" hidden="1" s="16">
      <c r="A25" s="5" t="inlineStr">
        <is>
          <t>XFRFUN-004</t>
        </is>
      </c>
      <c r="B25" s="5" t="inlineStr">
        <is>
          <t>XFRFUN</t>
        </is>
      </c>
      <c r="C25" s="5" t="inlineStr">
        <is>
          <t>319-322</t>
        </is>
      </c>
      <c r="D25" s="5" t="inlineStr">
        <is>
          <t>324-326</t>
        </is>
      </c>
      <c r="E25" s="5" t="inlineStr">
        <is>
          <t>Preserve the RESP and RESP2, then set up the standard ABEND info before getting the applid, date/time etc. and linking to the Abend Handler program.</t>
        </is>
      </c>
      <c r="F25" s="10" t="inlineStr">
        <is>
          <t xml:space="preserve">       INITIALIZE ABNDINFO-REC
       MOVE EIBRESP    TO ABND-RESPCODE
       MOVE EIBRESP2   TO ABND-RESP2CODE</t>
        </is>
      </c>
      <c r="G25" s="5" t="inlineStr">
        <is>
          <t>Falha</t>
        </is>
      </c>
      <c r="H25" s="5" t="inlineStr">
        <is>
          <t>falha</t>
        </is>
      </c>
      <c r="I25" s="5" t="n"/>
      <c r="J25" s="19" t="n"/>
      <c r="K25" s="15" t="inlineStr">
        <is>
          <t>infraestrutura (excluída)</t>
        </is>
      </c>
      <c r="L25" s="15" t="inlineStr">
        <is>
          <t>Validado</t>
        </is>
      </c>
      <c r="M25" s="15" t="inlineStr">
        <is>
          <t>Montagem de ABEND que compõe a consequência do IF de mesma conta (XFRFUN-003); a regra de negócio está registrada na 003. Montagem padrão das informações de ABEND (INITIALIZE ABNDINFO-REC; MOVE EIBRESP/EIBRESP2); tratamento técnico sem semântica bancária.</t>
        </is>
      </c>
      <c r="N25" s="5" t="n">
        <v>0</v>
      </c>
      <c r="O25" s="14" t="n"/>
      <c r="P25" s="14" t="n"/>
      <c r="Q25" s="2" t="n"/>
      <c r="R25" s="2" t="n"/>
      <c r="S25" s="2" t="n"/>
      <c r="T25" s="2" t="n"/>
      <c r="U25" s="2" t="n"/>
      <c r="V25" s="2" t="n"/>
      <c r="W25" s="2" t="n"/>
      <c r="X25" s="2" t="n"/>
      <c r="Y25" s="2" t="n"/>
      <c r="Z25" s="2" t="n"/>
    </row>
    <row r="26" hidden="1" s="16">
      <c r="A26" s="5" t="inlineStr">
        <is>
          <t>XFRFUN-005</t>
        </is>
      </c>
      <c r="B26" s="5" t="inlineStr">
        <is>
          <t>XFRFUN</t>
        </is>
      </c>
      <c r="C26" s="5" t="inlineStr">
        <is>
          <t>328</t>
        </is>
      </c>
      <c r="D26" s="5" t="inlineStr">
        <is>
          <t>330-378</t>
        </is>
      </c>
      <c r="E26" s="5" t="inlineStr">
        <is>
          <t>Get supplemental information</t>
        </is>
      </c>
      <c r="F26"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t>
        </is>
      </c>
      <c r="G26" s="5" t="inlineStr">
        <is>
          <t>Decisão e falha</t>
        </is>
      </c>
      <c r="H26" s="5" t="inlineStr">
        <is>
          <t>IF, falha</t>
        </is>
      </c>
      <c r="I26" s="5" t="inlineStr">
        <is>
          <t>comentário curto</t>
        </is>
      </c>
      <c r="J26" s="19" t="n"/>
      <c r="K26" s="15" t="inlineStr">
        <is>
          <t>infraestrutura (excluída)</t>
        </is>
      </c>
      <c r="L26" s="15" t="inlineStr">
        <is>
          <t>Validado</t>
        </is>
      </c>
      <c r="M26" s="15" t="inlineStr">
        <is>
          <t>Coleta de informações complementares de ABEND (PERFORM POPULATE-TIME-DATE, LINK ao tratador de ABEND, ABEND); tratamento técnico sem semântica bancária. O IF da linha 378, no fim do trecho, é o cabeçalho da regra de ordem de atualização (XFRFUN-006); o tipo 'Decisão e falha' vem dele.</t>
        </is>
      </c>
      <c r="N26" s="5" t="n">
        <v>1</v>
      </c>
      <c r="O26" s="14" t="n"/>
      <c r="P26" s="14" t="n"/>
      <c r="Q26" s="2" t="n"/>
      <c r="R26" s="2" t="n"/>
      <c r="S26" s="2" t="n"/>
      <c r="T26" s="2" t="n"/>
      <c r="U26" s="2" t="n"/>
      <c r="V26" s="2" t="n"/>
      <c r="W26" s="2" t="n"/>
      <c r="X26" s="2" t="n"/>
      <c r="Y26" s="2" t="n"/>
      <c r="Z26" s="2" t="n"/>
    </row>
    <row r="27" hidden="1" s="16">
      <c r="A27" s="5" t="inlineStr">
        <is>
          <t>XFRFUN-006</t>
        </is>
      </c>
      <c r="B27" s="5" t="inlineStr">
        <is>
          <t>XFRFUN</t>
        </is>
      </c>
      <c r="C27" s="5" t="inlineStr">
        <is>
          <t>380-381</t>
        </is>
      </c>
      <c r="D27" s="5" t="inlineStr">
        <is>
          <t>378; 383-384</t>
        </is>
      </c>
      <c r="E27" s="5" t="inlineStr">
        <is>
          <t>If the FROM account number is less than the TO account number</t>
        </is>
      </c>
      <c r="F27" s="10" t="inlineStr">
        <is>
          <t>[cab.]     IF COMM-FACCNO &lt; COMM-TACCNO
       MOVE COMM-FACCNO TO DESIRED-ACC-NO
       MOVE COMM-FSCODE TO DESIRED-SORT-CODE</t>
        </is>
      </c>
      <c r="G27" s="5" t="inlineStr">
        <is>
          <t>Decisão</t>
        </is>
      </c>
      <c r="H27" s="5" t="inlineStr">
        <is>
          <t>IF (cabeçalho)</t>
        </is>
      </c>
      <c r="I27" s="5" t="inlineStr">
        <is>
          <t>decisão no cabeçalho anterior ao comentário (linha 378)</t>
        </is>
      </c>
      <c r="J27" s="19" t="n"/>
      <c r="K27" s="19" t="inlineStr">
        <is>
          <t>infraestrutura (excluída)</t>
        </is>
      </c>
      <c r="L27" s="14" t="inlineStr">
        <is>
          <t>Validado</t>
        </is>
      </c>
      <c r="M27" s="19" t="inlineStr">
        <is>
          <t>Decisão da reunião com o orientador (ponto 2): a ordem de atualização por número de conta é controle técnico, classificado como infraestrutura. Regra redigida antes da decisão: Se o número da conta de origem for menor que o número da conta de destino, a conta de origem é a primeira a ser atualizada. O IF da linha 378 vem antes do comentário e aparece como [cab.]. O comentário e o código só selecionam a conta de origem (MOVE para DESIRED-ACC-NO); a atualização está nas linhas seguintes (XFRFUN-007 e 008). Nenhum comentário do fonte explica por que a ordem depende do número da conta. O programa trata deadlock do DB2 com retentativas (DB2-DEADLOCK-RETRY), o que sugere controle de concorrência, mas isso é inferência. Decidir com o orientador se é regra de negócio ou infraestrutura.</t>
        </is>
      </c>
      <c r="N27" s="5" t="n">
        <v>1</v>
      </c>
      <c r="O27" s="14" t="n"/>
      <c r="P27" s="14" t="n"/>
      <c r="Q27" s="2" t="n"/>
      <c r="R27" s="2" t="n"/>
      <c r="S27" s="2" t="n"/>
      <c r="T27" s="2" t="n"/>
      <c r="U27" s="2" t="n"/>
      <c r="V27" s="2" t="n"/>
      <c r="W27" s="2" t="n"/>
      <c r="X27" s="2" t="n"/>
      <c r="Y27" s="2" t="n"/>
      <c r="Z27" s="2" t="n"/>
    </row>
    <row r="28" hidden="1" s="16">
      <c r="A28" s="5" t="inlineStr">
        <is>
          <t>XFRFUN-008</t>
        </is>
      </c>
      <c r="B28" s="5" t="inlineStr">
        <is>
          <t>XFRFUN</t>
        </is>
      </c>
      <c r="C28" s="5" t="inlineStr">
        <is>
          <t>392</t>
        </is>
      </c>
      <c r="D28" s="5" t="inlineStr">
        <is>
          <t>394-398</t>
        </is>
      </c>
      <c r="E28" s="5" t="inlineStr">
        <is>
          <t>If the update was successful, update the TO account</t>
        </is>
      </c>
      <c r="F28" s="10" t="inlineStr">
        <is>
          <t xml:space="preserve">       IF COMM-SUCCESS = 'Y'
          MOVE COMM-TACCNO TO DESIRED-ACC-NO
          MOVE COMM-TSCODE TO DESIRED-SORT-CODE
          PERFORM UPDATE-ACCOUNT-DB2-TO</t>
        </is>
      </c>
      <c r="G28" s="5" t="inlineStr">
        <is>
          <t>Decisão</t>
        </is>
      </c>
      <c r="H28" s="5" t="inlineStr">
        <is>
          <t>IF</t>
        </is>
      </c>
      <c r="I28" s="5" t="n"/>
      <c r="J28" s="15" t="inlineStr">
        <is>
          <t>Se a atualização da conta de origem for bem-sucedida, a conta de destino é atualizada.</t>
        </is>
      </c>
      <c r="K28" s="15" t="inlineStr">
        <is>
          <t>regra de negócio</t>
        </is>
      </c>
      <c r="L28" s="15" t="inlineStr">
        <is>
          <t>Validado</t>
        </is>
      </c>
      <c r="M28" s="15" t="inlineStr">
        <is>
          <t>Ramo em que o número da conta de origem é menor que o da conta de destino (XFRFUN-006). A ordem de atualização por número de conta foi classificada como infraestrutura na reunião com o orientador (XFRFUN-006 e 017). Estrutura espelhada na XFRFUN-019 (ordem inversa). Falhas seguem para rollback/ABEND (XFRFUN-009 a 015).</t>
        </is>
      </c>
      <c r="N28" s="5" t="n">
        <v>1</v>
      </c>
      <c r="O28" s="14" t="n"/>
      <c r="P28" s="14" t="inlineStr">
        <is>
          <t>Não</t>
        </is>
      </c>
      <c r="Q28" s="2" t="n"/>
      <c r="R28" s="2" t="n"/>
      <c r="S28" s="2" t="n"/>
      <c r="T28" s="2" t="n"/>
      <c r="U28" s="2" t="n"/>
      <c r="V28" s="2" t="n"/>
      <c r="W28" s="2" t="n"/>
      <c r="X28" s="2" t="n"/>
      <c r="Y28" s="2" t="n"/>
      <c r="Z28" s="2" t="n"/>
    </row>
    <row r="29" hidden="1" s="16">
      <c r="A29" s="5" t="inlineStr">
        <is>
          <t>XFRFUN-009</t>
        </is>
      </c>
      <c r="B29" s="5" t="inlineStr">
        <is>
          <t>XFRFUN</t>
        </is>
      </c>
      <c r="C29" s="5" t="inlineStr">
        <is>
          <t>401-402</t>
        </is>
      </c>
      <c r="D29" s="5" t="inlineStr">
        <is>
          <t>404-413</t>
        </is>
      </c>
      <c r="E29" s="5" t="inlineStr">
        <is>
          <t>If the update to the TO account was unsuccessful then we need to flag it and roll it back</t>
        </is>
      </c>
      <c r="F29" s="10" t="inlineStr">
        <is>
          <t xml:space="preserve">          IF COMM-SUCCESS = 'N'
             IF COMM-FAIL-CODE = '2'
                EXEC CICS SYNCPOINT
                   ROLLBACK
                   RESP(WS-CICS-RESP)
                   RESP2(WS-CICS-RESP2)
                END-EXEC
                IF WS-CICS-RESP IS NOT EQUAL TO DFHRESP(NORMAL)</t>
        </is>
      </c>
      <c r="G29" s="5" t="inlineStr">
        <is>
          <t>Decisão e falha</t>
        </is>
      </c>
      <c r="H29" s="5" t="inlineStr">
        <is>
          <t>IF, falha</t>
        </is>
      </c>
      <c r="I29" s="5" t="n"/>
      <c r="J29" s="19" t="n"/>
      <c r="K29" s="15" t="inlineStr">
        <is>
          <t>infraestrutura (excluída)</t>
        </is>
      </c>
      <c r="L29" s="15" t="inlineStr">
        <is>
          <t>Validado</t>
        </is>
      </c>
      <c r="M29" s="15" t="inlineStr">
        <is>
          <t>Falha na atualização da conta de destino (COMM-SUCCESS = 'N') com código '2': rollback; se o rollback falhar, ABEND (010 e 011); com outro código, ABEND 'TO' (012). Fluxo de rollback/ABEND, tratado como infraestrutura. O efeito de negócio (transferência não efetivada pela metade) decorre do rollback: decidir se deve virar regra.</t>
        </is>
      </c>
      <c r="N29" s="5" t="n">
        <v>3</v>
      </c>
      <c r="O29" s="14" t="n"/>
      <c r="P29" s="14" t="n"/>
      <c r="Q29" s="2" t="n"/>
      <c r="R29" s="2" t="n"/>
      <c r="S29" s="2" t="n"/>
      <c r="T29" s="2" t="n"/>
      <c r="U29" s="2" t="n"/>
      <c r="V29" s="2" t="n"/>
      <c r="W29" s="2" t="n"/>
      <c r="X29" s="2" t="n"/>
      <c r="Y29" s="2" t="n"/>
      <c r="Z29" s="2" t="n"/>
    </row>
    <row r="30" hidden="1" s="16">
      <c r="A30" s="5" t="inlineStr">
        <is>
          <t>XFRFUN-010</t>
        </is>
      </c>
      <c r="B30" s="5" t="inlineStr">
        <is>
          <t>XFRFUN</t>
        </is>
      </c>
      <c r="C30" s="5" t="inlineStr">
        <is>
          <t>415-418</t>
        </is>
      </c>
      <c r="D30" s="5" t="inlineStr">
        <is>
          <t>420-422</t>
        </is>
      </c>
      <c r="E30" s="5" t="inlineStr">
        <is>
          <t>Preserve the RESP and RESP2, then set up the standard ABEND info before getting the applid, date/time etc. and linking to the Abend Handler program.</t>
        </is>
      </c>
      <c r="F30" s="10" t="inlineStr">
        <is>
          <t xml:space="preserve">                   INITIALIZE ABNDINFO-REC
                   MOVE EIBRESP    TO ABND-RESPCODE
                   MOVE EIBRESP2   TO ABND-RESP2CODE</t>
        </is>
      </c>
      <c r="G30" s="5" t="inlineStr">
        <is>
          <t>Falha</t>
        </is>
      </c>
      <c r="H30" s="5" t="inlineStr">
        <is>
          <t>falha</t>
        </is>
      </c>
      <c r="I30" s="5" t="n"/>
      <c r="J30" s="19" t="n"/>
      <c r="K30" s="15" t="inlineStr">
        <is>
          <t>infraestrutura (excluída)</t>
        </is>
      </c>
      <c r="L30" s="15" t="inlineStr">
        <is>
          <t>Validado</t>
        </is>
      </c>
      <c r="M30" s="15" t="inlineStr">
        <is>
          <t>Montagem padrão das informações de ABEND (INITIALIZE ABNDINFO-REC; MOVE EIBRESP/EIBRESP2); tratamento técnico sem semântica bancária.</t>
        </is>
      </c>
      <c r="N30" s="5" t="n">
        <v>0</v>
      </c>
      <c r="O30" s="14" t="n"/>
      <c r="P30" s="14" t="n"/>
      <c r="Q30" s="2" t="n"/>
      <c r="R30" s="2" t="n"/>
      <c r="S30" s="2" t="n"/>
      <c r="T30" s="2" t="n"/>
      <c r="U30" s="2" t="n"/>
      <c r="V30" s="2" t="n"/>
      <c r="W30" s="2" t="n"/>
      <c r="X30" s="2" t="n"/>
      <c r="Y30" s="2" t="n"/>
      <c r="Z30" s="2" t="n"/>
    </row>
    <row r="31" hidden="1" s="16">
      <c r="A31" s="5" t="inlineStr">
        <is>
          <t>XFRFUN-011</t>
        </is>
      </c>
      <c r="B31" s="5" t="inlineStr">
        <is>
          <t>XFRFUN</t>
        </is>
      </c>
      <c r="C31" s="5" t="inlineStr">
        <is>
          <t>424</t>
        </is>
      </c>
      <c r="D31" s="5" t="inlineStr">
        <is>
          <t>426-481</t>
        </is>
      </c>
      <c r="E31" s="5" t="inlineStr">
        <is>
          <t>Get supplemental information</t>
        </is>
      </c>
      <c r="F31"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t>
        </is>
      </c>
      <c r="G31" s="5" t="inlineStr">
        <is>
          <t>Falha</t>
        </is>
      </c>
      <c r="H31" s="5" t="inlineStr">
        <is>
          <t>falha</t>
        </is>
      </c>
      <c r="I31" s="5" t="inlineStr">
        <is>
          <t>comentário curto; contém GO TO (desvio incondicional)</t>
        </is>
      </c>
      <c r="J31" s="19" t="n"/>
      <c r="K31" s="15" t="inlineStr">
        <is>
          <t>infraestrutura (excluída)</t>
        </is>
      </c>
      <c r="L31" s="15" t="inlineStr">
        <is>
          <t>Validado</t>
        </is>
      </c>
      <c r="M31" s="15" t="inlineStr">
        <is>
          <t>Coleta de informações complementares de ABEND (PERFORM POPULATE-TIME-DATE, LINK ao tratador de ABEND, ABEND); tratamento técnico sem semântica bancária. Termina com GO TO UAD999; o ELSE da linha 481 é o cabeçalho do comentário seguinte.</t>
        </is>
      </c>
      <c r="N31" s="5" t="n">
        <v>0</v>
      </c>
      <c r="O31" s="14" t="n"/>
      <c r="P31" s="14" t="n"/>
      <c r="Q31" s="2" t="n"/>
      <c r="R31" s="2" t="n"/>
      <c r="S31" s="2" t="n"/>
      <c r="T31" s="2" t="n"/>
      <c r="U31" s="2" t="n"/>
      <c r="V31" s="2" t="n"/>
      <c r="W31" s="2" t="n"/>
      <c r="X31" s="2" t="n"/>
      <c r="Y31" s="2" t="n"/>
      <c r="Z31" s="2" t="n"/>
    </row>
    <row r="32" hidden="1" s="16">
      <c r="A32" s="5" t="inlineStr">
        <is>
          <t>XFRFUN-012</t>
        </is>
      </c>
      <c r="B32" s="5" t="inlineStr">
        <is>
          <t>XFRFUN</t>
        </is>
      </c>
      <c r="C32" s="5" t="inlineStr">
        <is>
          <t>483-484</t>
        </is>
      </c>
      <c r="D32" s="5" t="inlineStr">
        <is>
          <t>486-496</t>
        </is>
      </c>
      <c r="E32" s="5" t="inlineStr">
        <is>
          <t>If the COMM-FLAG is anything else other than 2 then abend.</t>
        </is>
      </c>
      <c r="F32" s="10" t="inlineStr">
        <is>
          <t xml:space="preserve">                DISPLAY 'Error updating TO account'
                EXEC CICS ABEND
                   ABCODE('TO  ')
                   NODUMP
                END-EXEC
             END-IF
          END-IF
       ELSE</t>
        </is>
      </c>
      <c r="G32" s="5" t="inlineStr">
        <is>
          <t>Falha</t>
        </is>
      </c>
      <c r="H32" s="5" t="inlineStr">
        <is>
          <t>falha</t>
        </is>
      </c>
      <c r="I32" s="5" t="n"/>
      <c r="J32" s="19" t="n"/>
      <c r="K32" s="15" t="inlineStr">
        <is>
          <t>infraestrutura (excluída)</t>
        </is>
      </c>
      <c r="L32" s="15" t="inlineStr">
        <is>
          <t>Validado</t>
        </is>
      </c>
      <c r="M32" s="15" t="inlineStr">
        <is>
          <t>ABEND 'TO' quando o código de falha da conta de destino não é '2'. O comentário cita COMM-FLAG, mas o código testa COMM-FAIL-CODE. Tratamento de ABEND.</t>
        </is>
      </c>
      <c r="N32" s="5" t="n">
        <v>0</v>
      </c>
      <c r="O32" s="14" t="n"/>
      <c r="P32" s="14" t="n"/>
      <c r="Q32" s="2" t="n"/>
      <c r="R32" s="2" t="n"/>
      <c r="S32" s="2" t="n"/>
      <c r="T32" s="2" t="n"/>
      <c r="U32" s="2" t="n"/>
      <c r="V32" s="2" t="n"/>
      <c r="W32" s="2" t="n"/>
      <c r="X32" s="2" t="n"/>
      <c r="Y32" s="2" t="n"/>
      <c r="Z32" s="2" t="n"/>
    </row>
    <row r="33" hidden="1" s="16">
      <c r="A33" s="5" t="inlineStr">
        <is>
          <t>XFRFUN-013</t>
        </is>
      </c>
      <c r="B33" s="5" t="inlineStr">
        <is>
          <t>XFRFUN</t>
        </is>
      </c>
      <c r="C33" s="5" t="inlineStr">
        <is>
          <t>498-499</t>
        </is>
      </c>
      <c r="D33" s="5" t="inlineStr">
        <is>
          <t>501-507</t>
        </is>
      </c>
      <c r="E33" s="5" t="inlineStr">
        <is>
          <t>If the update to the FROM account was not successful rollback.</t>
        </is>
      </c>
      <c r="F33" s="10" t="inlineStr">
        <is>
          <t xml:space="preserve">          IF COMM-FAIL-CODE = '1'
             EXEC CICS SYNCPOINT
                ROLLBACK
                RESP(WS-CICS-RESP)
                RESP2(WS-CICS-RESP2)
             END-EXEC</t>
        </is>
      </c>
      <c r="G33" s="5" t="inlineStr">
        <is>
          <t>Decisão</t>
        </is>
      </c>
      <c r="H33" s="5" t="inlineStr">
        <is>
          <t>IF</t>
        </is>
      </c>
      <c r="I33" s="5" t="n"/>
      <c r="J33" s="19" t="n"/>
      <c r="K33" s="15" t="inlineStr">
        <is>
          <t>infraestrutura (excluída)</t>
        </is>
      </c>
      <c r="L33" s="15" t="inlineStr">
        <is>
          <t>Validado</t>
        </is>
      </c>
      <c r="M33" s="15" t="inlineStr">
        <is>
          <t>Rollback quando a atualização da conta de origem falha com código '1'. O comentário diz apenas 'not successful', mas o código testa COMM-FAIL-CODE = '1'. Infraestrutura transacional.</t>
        </is>
      </c>
      <c r="N33" s="5" t="n">
        <v>1</v>
      </c>
      <c r="O33" s="14" t="n"/>
      <c r="P33" s="14" t="n"/>
      <c r="Q33" s="2" t="n"/>
      <c r="R33" s="2" t="n"/>
      <c r="S33" s="2" t="n"/>
      <c r="T33" s="2" t="n"/>
      <c r="U33" s="2" t="n"/>
      <c r="V33" s="2" t="n"/>
      <c r="W33" s="2" t="n"/>
      <c r="X33" s="2" t="n"/>
      <c r="Y33" s="2" t="n"/>
      <c r="Z33" s="2" t="n"/>
    </row>
    <row r="34" hidden="1" s="16">
      <c r="A34" s="5" t="inlineStr">
        <is>
          <t>XFRFUN-014</t>
        </is>
      </c>
      <c r="B34" s="5" t="inlineStr">
        <is>
          <t>XFRFUN</t>
        </is>
      </c>
      <c r="C34" s="5" t="inlineStr">
        <is>
          <t>510</t>
        </is>
      </c>
      <c r="D34" s="5" t="inlineStr">
        <is>
          <t>512-526</t>
        </is>
      </c>
      <c r="E34" s="5" t="inlineStr">
        <is>
          <t>If the ROLLback failed</t>
        </is>
      </c>
      <c r="F34" s="10" t="inlineStr">
        <is>
          <t xml:space="preserve">             IF WS-CICS-RESP IS NOT EQUAL TO DFHRESP(NORMAL)
                DISPLAY 'XFRFUN error syncpoint '
                   ' rollback after '
                   'updating FROM account '
                   ',RESP=' WS-CICS-RESP
                   ',RESP2=' WS-CICS-RESP2
                EXEC CICS ABEND
                   ABCODE('HROL')
                   NODUMP
                END-EXEC
             END-IF
             GO TO UAD999
          ELSE</t>
        </is>
      </c>
      <c r="G34" s="5" t="inlineStr">
        <is>
          <t>Decisão e falha</t>
        </is>
      </c>
      <c r="H34" s="5" t="inlineStr">
        <is>
          <t>IF, falha</t>
        </is>
      </c>
      <c r="I34" s="5" t="inlineStr">
        <is>
          <t>contém GO TO (desvio incondicional)</t>
        </is>
      </c>
      <c r="J34" s="19" t="n"/>
      <c r="K34" s="15" t="inlineStr">
        <is>
          <t>infraestrutura (excluída)</t>
        </is>
      </c>
      <c r="L34" s="15" t="inlineStr">
        <is>
          <t>Validado</t>
        </is>
      </c>
      <c r="M34" s="15" t="inlineStr">
        <is>
          <t>Falha do rollback após atualizar a conta de origem: DISPLAY e ABEND 'HROL'; infraestrutura.</t>
        </is>
      </c>
      <c r="N34" s="5" t="n">
        <v>1</v>
      </c>
      <c r="O34" s="14" t="n"/>
      <c r="P34" s="14" t="n"/>
      <c r="Q34" s="2" t="n"/>
      <c r="R34" s="2" t="n"/>
      <c r="S34" s="2" t="n"/>
      <c r="T34" s="2" t="n"/>
      <c r="U34" s="2" t="n"/>
      <c r="V34" s="2" t="n"/>
      <c r="W34" s="2" t="n"/>
      <c r="X34" s="2" t="n"/>
      <c r="Y34" s="2" t="n"/>
      <c r="Z34" s="2" t="n"/>
    </row>
    <row r="35" hidden="1" s="16">
      <c r="A35" s="5" t="inlineStr">
        <is>
          <t>XFRFUN-015</t>
        </is>
      </c>
      <c r="B35" s="5" t="inlineStr">
        <is>
          <t>XFRFUN</t>
        </is>
      </c>
      <c r="C35" s="5" t="inlineStr">
        <is>
          <t>528-531</t>
        </is>
      </c>
      <c r="D35" s="5" t="inlineStr">
        <is>
          <t>533-535</t>
        </is>
      </c>
      <c r="E35" s="5" t="inlineStr">
        <is>
          <t>Preserve the RESP and RESP2, then set up the standard ABEND info before getting the applid, date/time etc. and linking to the Abend Handler program.</t>
        </is>
      </c>
      <c r="F35" s="10" t="inlineStr">
        <is>
          <t xml:space="preserve">             INITIALIZE ABNDINFO-REC
             MOVE EIBRESP    TO ABND-RESPCODE
             MOVE EIBRESP2   TO ABND-RESP2CODE</t>
        </is>
      </c>
      <c r="G35" s="5" t="inlineStr">
        <is>
          <t>Falha</t>
        </is>
      </c>
      <c r="H35" s="5" t="inlineStr">
        <is>
          <t>falha</t>
        </is>
      </c>
      <c r="I35" s="5" t="n"/>
      <c r="J35" s="19" t="n"/>
      <c r="K35" s="15" t="inlineStr">
        <is>
          <t>infraestrutura (excluída)</t>
        </is>
      </c>
      <c r="L35" s="15" t="inlineStr">
        <is>
          <t>Validado</t>
        </is>
      </c>
      <c r="M35" s="15" t="inlineStr">
        <is>
          <t>Montagem padrão das informações de ABEND (INITIALIZE ABNDINFO-REC; MOVE EIBRESP/EIBRESP2); tratamento técnico sem semântica bancária.</t>
        </is>
      </c>
      <c r="N35" s="5" t="n">
        <v>0</v>
      </c>
      <c r="O35" s="14" t="n"/>
      <c r="P35" s="14" t="n"/>
      <c r="Q35" s="2" t="n"/>
      <c r="R35" s="2" t="n"/>
      <c r="S35" s="2" t="n"/>
      <c r="T35" s="2" t="n"/>
      <c r="U35" s="2" t="n"/>
      <c r="V35" s="2" t="n"/>
      <c r="W35" s="2" t="n"/>
      <c r="X35" s="2" t="n"/>
      <c r="Y35" s="2" t="n"/>
      <c r="Z35" s="2" t="n"/>
    </row>
    <row r="36" hidden="1" s="16">
      <c r="A36" s="5" t="inlineStr">
        <is>
          <t>XFRFUN-016</t>
        </is>
      </c>
      <c r="B36" s="5" t="inlineStr">
        <is>
          <t>XFRFUN</t>
        </is>
      </c>
      <c r="C36" s="5" t="inlineStr">
        <is>
          <t>537</t>
        </is>
      </c>
      <c r="D36" s="5" t="inlineStr">
        <is>
          <t>539-589</t>
        </is>
      </c>
      <c r="E36" s="5" t="inlineStr">
        <is>
          <t>Get supplemental information</t>
        </is>
      </c>
      <c r="F36"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t>
        </is>
      </c>
      <c r="G36" s="5" t="inlineStr">
        <is>
          <t>Falha</t>
        </is>
      </c>
      <c r="H36" s="5" t="inlineStr">
        <is>
          <t>falha</t>
        </is>
      </c>
      <c r="I36" s="5" t="inlineStr">
        <is>
          <t>comentário curto</t>
        </is>
      </c>
      <c r="J36" s="19" t="n"/>
      <c r="K36" s="15" t="inlineStr">
        <is>
          <t>infraestrutura (excluída)</t>
        </is>
      </c>
      <c r="L36" s="15" t="inlineStr">
        <is>
          <t>Validado</t>
        </is>
      </c>
      <c r="M36" s="15" t="inlineStr">
        <is>
          <t>Coleta de informações complementares de ABEND (PERFORM POPULATE-TIME-DATE, LINK ao tratador de ABEND, ABEND); tratamento técnico sem semântica bancária. O ELSE da linha 589, no fim do trecho, é o cabeçalho da XFRFUN-017.</t>
        </is>
      </c>
      <c r="N36" s="5" t="n">
        <v>0</v>
      </c>
      <c r="O36" s="14" t="n"/>
      <c r="P36" s="14" t="n"/>
      <c r="Q36" s="2" t="n"/>
      <c r="R36" s="2" t="n"/>
      <c r="S36" s="2" t="n"/>
      <c r="T36" s="2" t="n"/>
      <c r="U36" s="2" t="n"/>
      <c r="V36" s="2" t="n"/>
      <c r="W36" s="2" t="n"/>
      <c r="X36" s="2" t="n"/>
      <c r="Y36" s="2" t="n"/>
      <c r="Z36" s="2" t="n"/>
    </row>
    <row r="37" hidden="1" s="16">
      <c r="A37" s="5" t="inlineStr">
        <is>
          <t>XFRFUN-017</t>
        </is>
      </c>
      <c r="B37" s="5" t="inlineStr">
        <is>
          <t>XFRFUN</t>
        </is>
      </c>
      <c r="C37" s="5" t="inlineStr">
        <is>
          <t>591-592</t>
        </is>
      </c>
      <c r="D37" s="5" t="inlineStr">
        <is>
          <t>589; 594-595</t>
        </is>
      </c>
      <c r="E37" s="5" t="inlineStr">
        <is>
          <t>The FROM account number is greater than the TO account number</t>
        </is>
      </c>
      <c r="F37" s="10" t="inlineStr">
        <is>
          <t>[cab.]     ELSE
       MOVE COMM-TACCNO TO DESIRED-ACC-NO
       MOVE COMM-TSCODE TO DESIRED-SORT-CODE</t>
        </is>
      </c>
      <c r="G37" s="5" t="inlineStr">
        <is>
          <t>Decisão</t>
        </is>
      </c>
      <c r="H37" s="5" t="inlineStr">
        <is>
          <t>ELSE (cabeçalho)</t>
        </is>
      </c>
      <c r="I37" s="5" t="inlineStr">
        <is>
          <t>decisão no cabeçalho anterior ao comentário (linha 589)</t>
        </is>
      </c>
      <c r="J37" s="19" t="n"/>
      <c r="K37" s="19" t="inlineStr">
        <is>
          <t>infraestrutura (excluída)</t>
        </is>
      </c>
      <c r="L37" s="14" t="inlineStr">
        <is>
          <t>Validado</t>
        </is>
      </c>
      <c r="M37" s="19" t="inlineStr">
        <is>
          <t>Decisão da reunião com o orientador (ponto 2): a ordem de atualização por número de conta é controle técnico, classificado como infraestrutura. Regra redigida antes da decisão: Se o número da conta de origem for maior que o número da conta de destino, a conta de destino é a primeira a ser atualizada. O ELSE da linha 589 vem antes do comentário e aparece como [cab.]. O comentário diz 'maior que', mas o código é um ELSE de 'FROM &lt; TO', que também cobre número de conta igual com sort code diferente (a checagem de contas iguais, linhas 316-317, usa número e sort code): possível divergência comentário x código para o anexo. Mesma dúvida de categoria da XFRFUN-006.</t>
        </is>
      </c>
      <c r="N37" s="5" t="n">
        <v>1</v>
      </c>
      <c r="O37" s="14" t="n"/>
      <c r="P37" s="14" t="n"/>
      <c r="Q37" s="2" t="n"/>
      <c r="R37" s="2" t="n"/>
      <c r="S37" s="2" t="n"/>
      <c r="T37" s="2" t="n"/>
      <c r="U37" s="2" t="n"/>
      <c r="V37" s="2" t="n"/>
      <c r="W37" s="2" t="n"/>
      <c r="X37" s="2" t="n"/>
      <c r="Y37" s="2" t="n"/>
      <c r="Z37" s="2" t="n"/>
    </row>
    <row r="38" hidden="1" s="16">
      <c r="A38" s="5" t="inlineStr">
        <is>
          <t>XFRFUN-019</t>
        </is>
      </c>
      <c r="B38" s="5" t="inlineStr">
        <is>
          <t>XFRFUN</t>
        </is>
      </c>
      <c r="C38" s="5" t="inlineStr">
        <is>
          <t>603-604</t>
        </is>
      </c>
      <c r="D38" s="5" t="inlineStr">
        <is>
          <t>606-610</t>
        </is>
      </c>
      <c r="E38" s="5" t="inlineStr">
        <is>
          <t>If the update to the TO account was successful then update the FROM account</t>
        </is>
      </c>
      <c r="F38" s="10" t="inlineStr">
        <is>
          <t xml:space="preserve">       IF COMM-SUCCESS = 'Y'
          MOVE COMM-FACCNO TO DESIRED-ACC-NO
          MOVE COMM-FSCODE TO DESIRED-SORT-CODE
          PERFORM UPDATE-ACCOUNT-DB2-FROM</t>
        </is>
      </c>
      <c r="G38" s="5" t="inlineStr">
        <is>
          <t>Decisão</t>
        </is>
      </c>
      <c r="H38" s="5" t="inlineStr">
        <is>
          <t>IF</t>
        </is>
      </c>
      <c r="I38" s="5" t="n"/>
      <c r="J38" s="15" t="inlineStr">
        <is>
          <t>Se a atualização da conta de destino for bem-sucedida, a conta de origem é atualizada.</t>
        </is>
      </c>
      <c r="K38" s="15" t="inlineStr">
        <is>
          <t>regra de negócio</t>
        </is>
      </c>
      <c r="L38" s="15" t="inlineStr">
        <is>
          <t>Validado</t>
        </is>
      </c>
      <c r="M38" s="15" t="inlineStr">
        <is>
          <t>Ramo em que o número da conta de origem é maior que o da conta de destino (ordem inversa da XFRFUN-008). A ordem de atualização por número de conta foi classificada como infraestrutura na reunião com o orientador (XFRFUN-006 e 017)</t>
        </is>
      </c>
      <c r="N38" s="5" t="n">
        <v>1</v>
      </c>
      <c r="O38" s="14" t="n"/>
      <c r="P38" s="14" t="inlineStr">
        <is>
          <t>Não</t>
        </is>
      </c>
      <c r="Q38" s="2" t="n"/>
      <c r="R38" s="2" t="n"/>
      <c r="S38" s="2" t="n"/>
      <c r="T38" s="2" t="n"/>
      <c r="U38" s="2" t="n"/>
      <c r="V38" s="2" t="n"/>
      <c r="W38" s="2" t="n"/>
      <c r="X38" s="2" t="n"/>
      <c r="Y38" s="2" t="n"/>
      <c r="Z38" s="2" t="n"/>
    </row>
    <row r="39" hidden="1" s="16">
      <c r="A39" s="5" t="inlineStr">
        <is>
          <t>XFRFUN-020</t>
        </is>
      </c>
      <c r="B39" s="5" t="inlineStr">
        <is>
          <t>XFRFUN</t>
        </is>
      </c>
      <c r="C39" s="5" t="inlineStr">
        <is>
          <t>613</t>
        </is>
      </c>
      <c r="D39" s="5" t="inlineStr">
        <is>
          <t>615-617</t>
        </is>
      </c>
      <c r="E39" s="5" t="inlineStr">
        <is>
          <t>Did the update to the FROM account work?</t>
        </is>
      </c>
      <c r="F39" s="10" t="inlineStr">
        <is>
          <t xml:space="preserve">          IF COMM-SUCCESS = 'N'
             IF COMM-FAIL-CODE NOT = '1'</t>
        </is>
      </c>
      <c r="G39" s="5" t="inlineStr">
        <is>
          <t>Decisão</t>
        </is>
      </c>
      <c r="H39" s="5" t="inlineStr">
        <is>
          <t>IF</t>
        </is>
      </c>
      <c r="I39" s="5" t="n"/>
      <c r="J39" s="19" t="n"/>
      <c r="K39" s="15" t="inlineStr">
        <is>
          <t>infraestrutura (excluída)</t>
        </is>
      </c>
      <c r="L39" s="15" t="inlineStr">
        <is>
          <t>Validado</t>
        </is>
      </c>
      <c r="M39" s="15" t="inlineStr">
        <is>
          <t>Se a atualização da conta de origem falhar (COMM-SUCCESS = 'N') com código diferente de '1', ABEND 'FROM'; com código '1', rollback (XFRFUN-023). Fluxo de ABEND/rollback.</t>
        </is>
      </c>
      <c r="N39" s="5" t="n">
        <v>2</v>
      </c>
      <c r="O39" s="14" t="n"/>
      <c r="P39" s="14" t="n"/>
      <c r="Q39" s="2" t="n"/>
      <c r="R39" s="2" t="n"/>
      <c r="S39" s="2" t="n"/>
      <c r="T39" s="2" t="n"/>
      <c r="U39" s="2" t="n"/>
      <c r="V39" s="2" t="n"/>
      <c r="W39" s="2" t="n"/>
      <c r="X39" s="2" t="n"/>
      <c r="Y39" s="2" t="n"/>
      <c r="Z39" s="2" t="n"/>
    </row>
    <row r="40" hidden="1" s="16">
      <c r="A40" s="5" t="inlineStr">
        <is>
          <t>XFRFUN-021</t>
        </is>
      </c>
      <c r="B40" s="5" t="inlineStr">
        <is>
          <t>XFRFUN</t>
        </is>
      </c>
      <c r="C40" s="5" t="inlineStr">
        <is>
          <t>619-622</t>
        </is>
      </c>
      <c r="D40" s="5" t="inlineStr">
        <is>
          <t>624-626</t>
        </is>
      </c>
      <c r="E40" s="5" t="inlineStr">
        <is>
          <t>Preserve the RESP and RESP2, then set up the standard ABEND info before getting the applid, date/time etc. and linking to the Abend Handler program.</t>
        </is>
      </c>
      <c r="F40" s="10" t="inlineStr">
        <is>
          <t xml:space="preserve">                INITIALIZE ABNDINFO-REC
                MOVE EIBRESP    TO ABND-RESPCODE
                MOVE EIBRESP2   TO ABND-RESP2CODE</t>
        </is>
      </c>
      <c r="G40" s="5" t="inlineStr">
        <is>
          <t>Falha</t>
        </is>
      </c>
      <c r="H40" s="5" t="inlineStr">
        <is>
          <t>falha</t>
        </is>
      </c>
      <c r="I40" s="5" t="n"/>
      <c r="J40" s="19" t="n"/>
      <c r="K40" s="15" t="inlineStr">
        <is>
          <t>infraestrutura (excluída)</t>
        </is>
      </c>
      <c r="L40" s="15" t="inlineStr">
        <is>
          <t>Validado</t>
        </is>
      </c>
      <c r="M40" s="15" t="inlineStr">
        <is>
          <t>Montagem padrão das informações de ABEND (INITIALIZE ABNDINFO-REC; MOVE EIBRESP/EIBRESP2); tratamento técnico sem semântica bancária.</t>
        </is>
      </c>
      <c r="N40" s="5" t="n">
        <v>0</v>
      </c>
      <c r="O40" s="14" t="n"/>
      <c r="P40" s="14" t="n"/>
      <c r="Q40" s="2" t="n"/>
      <c r="R40" s="2" t="n"/>
      <c r="S40" s="2" t="n"/>
      <c r="T40" s="2" t="n"/>
      <c r="U40" s="2" t="n"/>
      <c r="V40" s="2" t="n"/>
      <c r="W40" s="2" t="n"/>
      <c r="X40" s="2" t="n"/>
      <c r="Y40" s="2" t="n"/>
      <c r="Z40" s="2" t="n"/>
    </row>
    <row r="41" hidden="1" s="16">
      <c r="A41" s="5" t="inlineStr">
        <is>
          <t>XFRFUN-022</t>
        </is>
      </c>
      <c r="B41" s="5" t="inlineStr">
        <is>
          <t>XFRFUN</t>
        </is>
      </c>
      <c r="C41" s="5" t="inlineStr">
        <is>
          <t>628</t>
        </is>
      </c>
      <c r="D41" s="5" t="inlineStr">
        <is>
          <t>630-675</t>
        </is>
      </c>
      <c r="E41" s="5" t="inlineStr">
        <is>
          <t>Get supplemental information</t>
        </is>
      </c>
      <c r="F41"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t>
        </is>
      </c>
      <c r="G41" s="5" t="inlineStr">
        <is>
          <t>Falha</t>
        </is>
      </c>
      <c r="H41" s="5" t="inlineStr">
        <is>
          <t>falha</t>
        </is>
      </c>
      <c r="I41" s="5" t="inlineStr">
        <is>
          <t>comentário curto</t>
        </is>
      </c>
      <c r="J41" s="19" t="n"/>
      <c r="K41" s="15" t="inlineStr">
        <is>
          <t>infraestrutura (excluída)</t>
        </is>
      </c>
      <c r="L41" s="15" t="inlineStr">
        <is>
          <t>Validado</t>
        </is>
      </c>
      <c r="M41" s="15" t="inlineStr">
        <is>
          <t>Coleta de informações complementares de ABEND (PERFORM POPULATE-TIME-DATE, LINK ao tratador de ABEND, ABEND); tratamento técnico sem semântica bancária. O ELSE da linha 675, no fim do trecho, é o cabeçalho da XFRFUN-023.</t>
        </is>
      </c>
      <c r="N41" s="5" t="n">
        <v>0</v>
      </c>
      <c r="O41" s="14" t="n"/>
      <c r="P41" s="14" t="n"/>
      <c r="Q41" s="2" t="n"/>
      <c r="R41" s="2" t="n"/>
      <c r="S41" s="2" t="n"/>
      <c r="T41" s="2" t="n"/>
      <c r="U41" s="2" t="n"/>
      <c r="V41" s="2" t="n"/>
      <c r="W41" s="2" t="n"/>
      <c r="X41" s="2" t="n"/>
      <c r="Y41" s="2" t="n"/>
      <c r="Z41" s="2" t="n"/>
    </row>
    <row r="42" hidden="1" s="16">
      <c r="A42" s="5" t="inlineStr">
        <is>
          <t>XFRFUN-023</t>
        </is>
      </c>
      <c r="B42" s="5" t="inlineStr">
        <is>
          <t>XFRFUN</t>
        </is>
      </c>
      <c r="C42" s="5" t="inlineStr">
        <is>
          <t>677</t>
        </is>
      </c>
      <c r="D42" s="5" t="inlineStr">
        <is>
          <t>675; 679-683</t>
        </is>
      </c>
      <c r="E42" s="5" t="inlineStr">
        <is>
          <t>If the FAIL code is something else</t>
        </is>
      </c>
      <c r="F42" s="10" t="inlineStr">
        <is>
          <t>[cab.]              ELSE
                EXEC CICS SYNCPOINT
                   ROLLBACK
                   RESP(WS-CICS-RESP)
                   RESP2(WS-CICS-RESP2)
                END-EXEC</t>
        </is>
      </c>
      <c r="G42" s="5" t="inlineStr">
        <is>
          <t>Decisão</t>
        </is>
      </c>
      <c r="H42" s="5" t="inlineStr">
        <is>
          <t>ELSE (cabeçalho)</t>
        </is>
      </c>
      <c r="I42" s="5" t="inlineStr">
        <is>
          <t>decisão no cabeçalho anterior ao comentário (linha 675)</t>
        </is>
      </c>
      <c r="J42" s="19" t="n"/>
      <c r="K42" s="15" t="inlineStr">
        <is>
          <t>infraestrutura (excluída)</t>
        </is>
      </c>
      <c r="L42" s="15" t="inlineStr">
        <is>
          <t>Validado</t>
        </is>
      </c>
      <c r="M42" s="15" t="inlineStr">
        <is>
          <t>O ELSE da linha 675 vem antes do comentário e aparece como [cab.]. Rollback da transação (EXEC CICS SYNCPOINT ROLLBACK) quando o código de falha é diferente do tratado no ramo anterior; infraestrutura, no mesmo critério do rollback do DBCRFUN-012 e 013.</t>
        </is>
      </c>
      <c r="N42" s="5" t="n">
        <v>1</v>
      </c>
      <c r="O42" s="14" t="n"/>
      <c r="P42" s="14" t="n"/>
      <c r="Q42" s="2" t="n"/>
      <c r="R42" s="2" t="n"/>
      <c r="S42" s="2" t="n"/>
      <c r="T42" s="2" t="n"/>
      <c r="U42" s="2" t="n"/>
      <c r="V42" s="2" t="n"/>
      <c r="W42" s="2" t="n"/>
      <c r="X42" s="2" t="n"/>
      <c r="Y42" s="2" t="n"/>
      <c r="Z42" s="2" t="n"/>
    </row>
    <row r="43" hidden="1" s="16">
      <c r="A43" s="5" t="inlineStr">
        <is>
          <t>XFRFUN-024</t>
        </is>
      </c>
      <c r="B43" s="5" t="inlineStr">
        <is>
          <t>XFRFUN</t>
        </is>
      </c>
      <c r="C43" s="5" t="inlineStr">
        <is>
          <t>685</t>
        </is>
      </c>
      <c r="D43" s="5" t="inlineStr">
        <is>
          <t>687</t>
        </is>
      </c>
      <c r="E43" s="5" t="inlineStr">
        <is>
          <t>If that rollback didn't work</t>
        </is>
      </c>
      <c r="F43" s="10" t="inlineStr">
        <is>
          <t xml:space="preserve">                IF WS-CICS-RESP IS NOT EQUAL TO DFHRESP(NORMAL)</t>
        </is>
      </c>
      <c r="G43" s="5" t="inlineStr">
        <is>
          <t>Decisão e falha</t>
        </is>
      </c>
      <c r="H43" s="5" t="inlineStr">
        <is>
          <t>IF, falha</t>
        </is>
      </c>
      <c r="I43" s="5" t="n"/>
      <c r="J43" s="19" t="n"/>
      <c r="K43" s="15" t="inlineStr">
        <is>
          <t>infraestrutura (excluída)</t>
        </is>
      </c>
      <c r="L43" s="15" t="inlineStr">
        <is>
          <t>Validado</t>
        </is>
      </c>
      <c r="M43" s="15" t="inlineStr">
        <is>
          <t>Verificação do RESP do rollback executado após falha na conta de origem; infraestrutura transacional.</t>
        </is>
      </c>
      <c r="N43" s="5" t="n">
        <v>1</v>
      </c>
      <c r="O43" s="14" t="n"/>
      <c r="P43" s="14" t="n"/>
      <c r="Q43" s="2" t="n"/>
      <c r="R43" s="2" t="n"/>
      <c r="S43" s="2" t="n"/>
      <c r="T43" s="2" t="n"/>
      <c r="U43" s="2" t="n"/>
      <c r="V43" s="2" t="n"/>
      <c r="W43" s="2" t="n"/>
      <c r="X43" s="2" t="n"/>
      <c r="Y43" s="2" t="n"/>
      <c r="Z43" s="2" t="n"/>
    </row>
    <row r="44" hidden="1" s="16">
      <c r="A44" s="5" t="inlineStr">
        <is>
          <t>XFRFUN-025</t>
        </is>
      </c>
      <c r="B44" s="5" t="inlineStr">
        <is>
          <t>XFRFUN</t>
        </is>
      </c>
      <c r="C44" s="5" t="inlineStr">
        <is>
          <t>689-692</t>
        </is>
      </c>
      <c r="D44" s="5" t="inlineStr">
        <is>
          <t>694-696</t>
        </is>
      </c>
      <c r="E44" s="5" t="inlineStr">
        <is>
          <t>Preserve the RESP and RESP2, then set up the standard ABEND info before getting the applid, date/time etc. and linking to the Abend Handler program.</t>
        </is>
      </c>
      <c r="F44" s="10" t="inlineStr">
        <is>
          <t xml:space="preserve">                   INITIALIZE ABNDINFO-REC
                   MOVE EIBRESP    TO ABND-RESPCODE
                   MOVE EIBRESP2   TO ABND-RESP2CODE</t>
        </is>
      </c>
      <c r="G44" s="5" t="inlineStr">
        <is>
          <t>Falha</t>
        </is>
      </c>
      <c r="H44" s="5" t="inlineStr">
        <is>
          <t>falha</t>
        </is>
      </c>
      <c r="I44" s="5" t="n"/>
      <c r="J44" s="19" t="n"/>
      <c r="K44" s="15" t="inlineStr">
        <is>
          <t>infraestrutura (excluída)</t>
        </is>
      </c>
      <c r="L44" s="15" t="inlineStr">
        <is>
          <t>Validado</t>
        </is>
      </c>
      <c r="M44" s="15" t="inlineStr">
        <is>
          <t>Montagem padrão das informações de ABEND (INITIALIZE ABNDINFO-REC; MOVE EIBRESP/EIBRESP2); tratamento técnico sem semântica bancária.</t>
        </is>
      </c>
      <c r="N44" s="5" t="n">
        <v>0</v>
      </c>
      <c r="O44" s="14" t="n"/>
      <c r="P44" s="14" t="n"/>
      <c r="Q44" s="2" t="n"/>
      <c r="R44" s="2" t="n"/>
      <c r="S44" s="2" t="n"/>
      <c r="T44" s="2" t="n"/>
      <c r="U44" s="2" t="n"/>
      <c r="V44" s="2" t="n"/>
      <c r="W44" s="2" t="n"/>
      <c r="X44" s="2" t="n"/>
      <c r="Y44" s="2" t="n"/>
      <c r="Z44" s="2" t="n"/>
    </row>
    <row r="45" hidden="1" s="16">
      <c r="A45" s="5" t="inlineStr">
        <is>
          <t>XFRFUN-026</t>
        </is>
      </c>
      <c r="B45" s="5" t="inlineStr">
        <is>
          <t>XFRFUN</t>
        </is>
      </c>
      <c r="C45" s="5" t="inlineStr">
        <is>
          <t>698</t>
        </is>
      </c>
      <c r="D45" s="5" t="inlineStr">
        <is>
          <t>700-760</t>
        </is>
      </c>
      <c r="E45" s="5" t="inlineStr">
        <is>
          <t>Get supplemental information</t>
        </is>
      </c>
      <c r="F45"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t>
        </is>
      </c>
      <c r="G45" s="5" t="inlineStr">
        <is>
          <t>Falha</t>
        </is>
      </c>
      <c r="H45" s="5" t="inlineStr">
        <is>
          <t>falha</t>
        </is>
      </c>
      <c r="I45" s="5" t="inlineStr">
        <is>
          <t>comentário curto; contém GO TO (desvio incondicional)</t>
        </is>
      </c>
      <c r="J45" s="19" t="n"/>
      <c r="K45" s="15" t="inlineStr">
        <is>
          <t>infraestrutura (excluída)</t>
        </is>
      </c>
      <c r="L45" s="15" t="inlineStr">
        <is>
          <t>Validado</t>
        </is>
      </c>
      <c r="M45" s="15" t="inlineStr">
        <is>
          <t>Coleta de informações complementares de ABEND (PERFORM POPULATE-TIME-DATE, LINK ao tratador de ABEND, ABEND); tratamento técnico sem semântica bancária. Termina com GO TO UAD999; o ELSE da linha 760 é o cabeçalho do comentário seguinte.</t>
        </is>
      </c>
      <c r="N45" s="5" t="n">
        <v>0</v>
      </c>
      <c r="O45" s="14" t="n"/>
      <c r="P45" s="14" t="n"/>
      <c r="Q45" s="2" t="n"/>
      <c r="R45" s="2" t="n"/>
      <c r="S45" s="2" t="n"/>
      <c r="T45" s="2" t="n"/>
      <c r="U45" s="2" t="n"/>
      <c r="V45" s="2" t="n"/>
      <c r="W45" s="2" t="n"/>
      <c r="X45" s="2" t="n"/>
      <c r="Y45" s="2" t="n"/>
      <c r="Z45" s="2" t="n"/>
    </row>
    <row r="46" hidden="1" s="16">
      <c r="A46" s="5" t="inlineStr">
        <is>
          <t>XFRFUN-027</t>
        </is>
      </c>
      <c r="B46" s="5" t="inlineStr">
        <is>
          <t>XFRFUN</t>
        </is>
      </c>
      <c r="C46" s="5" t="inlineStr">
        <is>
          <t>763-764</t>
        </is>
      </c>
      <c r="D46" s="5" t="inlineStr">
        <is>
          <t>766</t>
        </is>
      </c>
      <c r="E46" s="5" t="inlineStr">
        <is>
          <t>If the update to the TO account was NOT successful &amp; the fail code isn't = '2'</t>
        </is>
      </c>
      <c r="F46" s="10" t="inlineStr">
        <is>
          <t xml:space="preserve">          IF COMM-FAIL-CODE NOT = '2'</t>
        </is>
      </c>
      <c r="G46" s="5" t="inlineStr">
        <is>
          <t>Decisão</t>
        </is>
      </c>
      <c r="H46" s="5" t="inlineStr">
        <is>
          <t>IF</t>
        </is>
      </c>
      <c r="I46" s="5" t="n"/>
      <c r="J46" s="19" t="n"/>
      <c r="K46" s="15" t="inlineStr">
        <is>
          <t>infraestrutura (excluída)</t>
        </is>
      </c>
      <c r="L46" s="15" t="inlineStr">
        <is>
          <t>Validado</t>
        </is>
      </c>
      <c r="M46" s="15" t="inlineStr">
        <is>
          <t>Se a atualização da conta de destino falhar com código diferente de '2', ABEND (XFRFUN-028 a 030); fluxo de ABEND.</t>
        </is>
      </c>
      <c r="N46" s="5" t="n">
        <v>1</v>
      </c>
      <c r="O46" s="14" t="n"/>
      <c r="P46" s="14" t="n"/>
      <c r="Q46" s="2" t="n"/>
      <c r="R46" s="2" t="n"/>
      <c r="S46" s="2" t="n"/>
      <c r="T46" s="2" t="n"/>
      <c r="U46" s="2" t="n"/>
      <c r="V46" s="2" t="n"/>
      <c r="W46" s="2" t="n"/>
      <c r="X46" s="2" t="n"/>
      <c r="Y46" s="2" t="n"/>
      <c r="Z46" s="2" t="n"/>
    </row>
    <row r="47" hidden="1" s="16">
      <c r="A47" s="5" t="inlineStr">
        <is>
          <t>XFRFUN-028</t>
        </is>
      </c>
      <c r="B47" s="5" t="inlineStr">
        <is>
          <t>XFRFUN</t>
        </is>
      </c>
      <c r="C47" s="5" t="inlineStr">
        <is>
          <t>768-771</t>
        </is>
      </c>
      <c r="D47" s="5" t="inlineStr">
        <is>
          <t>773-775</t>
        </is>
      </c>
      <c r="E47" s="5" t="inlineStr">
        <is>
          <t>Preserve the RESP and RESP2, then set up the standard ABEND info before getting the applid, date/time etc. and linking to the Abend Handler program.</t>
        </is>
      </c>
      <c r="F47" s="10" t="inlineStr">
        <is>
          <t xml:space="preserve">             INITIALIZE ABNDINFO-REC
             MOVE EIBRESP    TO ABND-RESPCODE
             MOVE EIBRESP2   TO ABND-RESP2CODE</t>
        </is>
      </c>
      <c r="G47" s="5" t="inlineStr">
        <is>
          <t>Falha</t>
        </is>
      </c>
      <c r="H47" s="5" t="inlineStr">
        <is>
          <t>falha</t>
        </is>
      </c>
      <c r="I47" s="5" t="n"/>
      <c r="J47" s="19" t="n"/>
      <c r="K47" s="15" t="inlineStr">
        <is>
          <t>infraestrutura (excluída)</t>
        </is>
      </c>
      <c r="L47" s="15" t="inlineStr">
        <is>
          <t>Validado</t>
        </is>
      </c>
      <c r="M47" s="15" t="inlineStr">
        <is>
          <t>Montagem padrão das informações de ABEND (INITIALIZE ABNDINFO-REC; MOVE EIBRESP/EIBRESP2); tratamento técnico sem semântica bancária.</t>
        </is>
      </c>
      <c r="N47" s="5" t="n">
        <v>0</v>
      </c>
      <c r="O47" s="14" t="n"/>
      <c r="P47" s="14" t="n"/>
      <c r="Q47" s="2" t="n"/>
      <c r="R47" s="2" t="n"/>
      <c r="S47" s="2" t="n"/>
      <c r="T47" s="2" t="n"/>
      <c r="U47" s="2" t="n"/>
      <c r="V47" s="2" t="n"/>
      <c r="W47" s="2" t="n"/>
      <c r="X47" s="2" t="n"/>
      <c r="Y47" s="2" t="n"/>
      <c r="Z47" s="2" t="n"/>
    </row>
    <row r="48" hidden="1" s="16">
      <c r="A48" s="5" t="inlineStr">
        <is>
          <t>XFRFUN-029</t>
        </is>
      </c>
      <c r="B48" s="5" t="inlineStr">
        <is>
          <t>XFRFUN</t>
        </is>
      </c>
      <c r="C48" s="5" t="inlineStr">
        <is>
          <t>777</t>
        </is>
      </c>
      <c r="D48" s="5" t="inlineStr">
        <is>
          <t>779-832</t>
        </is>
      </c>
      <c r="E48" s="5" t="inlineStr">
        <is>
          <t>Get supplemental information</t>
        </is>
      </c>
      <c r="F48"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IF WS-CICS-RESP IS NOT EQUAL TO DFHRESP(NORMAL)</t>
        </is>
      </c>
      <c r="G48" s="5" t="inlineStr">
        <is>
          <t>Decisão e falha</t>
        </is>
      </c>
      <c r="H48" s="5" t="inlineStr">
        <is>
          <t>IF, falha</t>
        </is>
      </c>
      <c r="I48" s="5" t="inlineStr">
        <is>
          <t>comentário curto</t>
        </is>
      </c>
      <c r="J48" s="19" t="n"/>
      <c r="K48" s="15" t="inlineStr">
        <is>
          <t>infraestrutura (excluída)</t>
        </is>
      </c>
      <c r="L48" s="15" t="inlineStr">
        <is>
          <t>Validado</t>
        </is>
      </c>
      <c r="M48" s="15" t="inlineStr">
        <is>
          <t>Coleta de informações complementares de ABEND (PERFORM POPULATE-TIME-DATE, LINK ao tratador de ABEND, ABEND); tratamento técnico sem semântica bancária. Inclui SYNCPOINT ROLLBACK (linhas 826-827). O IF da linha 832, no fim do trecho, é cabeçalho do comentário seguinte e é ele que dá o tipo 'Decisão e falha'.</t>
        </is>
      </c>
      <c r="N48" s="5" t="n">
        <v>1</v>
      </c>
      <c r="O48" s="14" t="n"/>
      <c r="P48" s="14" t="n"/>
      <c r="Q48" s="2" t="n"/>
      <c r="R48" s="2" t="n"/>
      <c r="S48" s="2" t="n"/>
      <c r="T48" s="2" t="n"/>
      <c r="U48" s="2" t="n"/>
      <c r="V48" s="2" t="n"/>
      <c r="W48" s="2" t="n"/>
      <c r="X48" s="2" t="n"/>
      <c r="Y48" s="2" t="n"/>
      <c r="Z48" s="2" t="n"/>
    </row>
    <row r="49" hidden="1" s="16">
      <c r="A49" s="5" t="inlineStr">
        <is>
          <t>XFRFUN-030</t>
        </is>
      </c>
      <c r="B49" s="5" t="inlineStr">
        <is>
          <t>XFRFUN</t>
        </is>
      </c>
      <c r="C49" s="5" t="inlineStr">
        <is>
          <t>834-837</t>
        </is>
      </c>
      <c r="D49" s="5" t="inlineStr">
        <is>
          <t>839-841</t>
        </is>
      </c>
      <c r="E49" s="5" t="inlineStr">
        <is>
          <t>Preserve the RESP and RESP2, then set up the standard ABEND info before getting the applid, date/time etc. and linking to the Abend Handler program.</t>
        </is>
      </c>
      <c r="F49" s="10" t="inlineStr">
        <is>
          <t xml:space="preserve">                INITIALIZE ABNDINFO-REC
                MOVE EIBRESP    TO ABND-RESPCODE
                MOVE EIBRESP2   TO ABND-RESP2CODE</t>
        </is>
      </c>
      <c r="G49" s="5" t="inlineStr">
        <is>
          <t>Falha</t>
        </is>
      </c>
      <c r="H49" s="5" t="inlineStr">
        <is>
          <t>falha</t>
        </is>
      </c>
      <c r="I49" s="5" t="n"/>
      <c r="J49" s="19" t="n"/>
      <c r="K49" s="15" t="inlineStr">
        <is>
          <t>infraestrutura (excluída)</t>
        </is>
      </c>
      <c r="L49" s="15" t="inlineStr">
        <is>
          <t>Validado</t>
        </is>
      </c>
      <c r="M49" s="15" t="inlineStr">
        <is>
          <t>Montagem padrão das informações de ABEND (INITIALIZE ABNDINFO-REC; MOVE EIBRESP/EIBRESP2); tratamento técnico sem semântica bancária.</t>
        </is>
      </c>
      <c r="N49" s="5" t="n">
        <v>0</v>
      </c>
      <c r="O49" s="14" t="n"/>
      <c r="P49" s="14" t="n"/>
      <c r="Q49" s="2" t="n"/>
      <c r="R49" s="2" t="n"/>
      <c r="S49" s="2" t="n"/>
      <c r="T49" s="2" t="n"/>
      <c r="U49" s="2" t="n"/>
      <c r="V49" s="2" t="n"/>
      <c r="W49" s="2" t="n"/>
      <c r="X49" s="2" t="n"/>
      <c r="Y49" s="2" t="n"/>
      <c r="Z49" s="2" t="n"/>
    </row>
    <row r="50" hidden="1" s="16">
      <c r="A50" s="5" t="inlineStr">
        <is>
          <t>XFRFUN-031</t>
        </is>
      </c>
      <c r="B50" s="5" t="inlineStr">
        <is>
          <t>XFRFUN</t>
        </is>
      </c>
      <c r="C50" s="5" t="inlineStr">
        <is>
          <t>843</t>
        </is>
      </c>
      <c r="D50" s="5" t="inlineStr">
        <is>
          <t>845-904</t>
        </is>
      </c>
      <c r="E50" s="5" t="inlineStr">
        <is>
          <t>Get supplemental information</t>
        </is>
      </c>
      <c r="F50"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'updating TO account '
                    ',RESP=' WS-CICS-RESP
                    ',RESP2=' WS-CICS-RESP2
                EXEC CICS ABEND
                   ABCODE('HROL')
                   NODUMP
                   CANCEL
                END-EXEC
             END-IF
             GO TO UAD999
          END-IF
       END-IF
    END-IF.</t>
        </is>
      </c>
      <c r="G50" s="5" t="inlineStr">
        <is>
          <t>Falha</t>
        </is>
      </c>
      <c r="H50" s="5" t="inlineStr">
        <is>
          <t>falha</t>
        </is>
      </c>
      <c r="I50" s="5" t="inlineStr">
        <is>
          <t>comentário curto; contém GO TO (desvio incondicional)</t>
        </is>
      </c>
      <c r="J50" s="19" t="n"/>
      <c r="K50" s="15" t="inlineStr">
        <is>
          <t>infraestrutura (excluída)</t>
        </is>
      </c>
      <c r="L50" s="15" t="inlineStr">
        <is>
          <t>Validado</t>
        </is>
      </c>
      <c r="M50" s="15" t="inlineStr">
        <is>
          <t>Coleta de informações complementares de ABEND (PERFORM POPULATE-TIME-DATE, LINK ao tratador de ABEND, ABEND); tratamento técnico sem semântica bancária. Contém GO TO UAD999 (linha 898).</t>
        </is>
      </c>
      <c r="N50" s="5" t="n">
        <v>0</v>
      </c>
      <c r="O50" s="14" t="n"/>
      <c r="P50" s="14" t="n"/>
      <c r="Q50" s="2" t="n"/>
      <c r="R50" s="2" t="n"/>
      <c r="S50" s="2" t="n"/>
      <c r="T50" s="2" t="n"/>
      <c r="U50" s="2" t="n"/>
      <c r="V50" s="2" t="n"/>
      <c r="W50" s="2" t="n"/>
      <c r="X50" s="2" t="n"/>
      <c r="Y50" s="2" t="n"/>
      <c r="Z50" s="2" t="n"/>
    </row>
    <row r="51" hidden="1" s="16">
      <c r="A51" s="5" t="inlineStr">
        <is>
          <t>XFRFUN-034</t>
        </is>
      </c>
      <c r="B51" s="5" t="inlineStr">
        <is>
          <t>XFRFUN</t>
        </is>
      </c>
      <c r="C51" s="5" t="inlineStr">
        <is>
          <t>961-962</t>
        </is>
      </c>
      <c r="D51" s="5" t="inlineStr">
        <is>
          <t>964-971</t>
        </is>
      </c>
      <c r="E51" s="5" t="inlineStr">
        <is>
          <t>Check that select was successful. If it wasn't then set the COMMAREA return flags accordingly.</t>
        </is>
      </c>
      <c r="F51" s="10" t="inlineStr">
        <is>
          <t xml:space="preserve">    IF SQLCODE NOT = 0
       MOVE 'N' TO COMM-SUCCESS
       IF SQLCODE = +100
          MOVE '1' TO COMM-FAIL-CODE
       ELSE
          MOVE '3' TO COMM-FAIL-CODE
       END-IF</t>
        </is>
      </c>
      <c r="G51" s="5" t="inlineStr">
        <is>
          <t>Decisão e falha</t>
        </is>
      </c>
      <c r="H51" s="5" t="inlineStr">
        <is>
          <t>IF, falha</t>
        </is>
      </c>
      <c r="I51" s="5" t="n"/>
      <c r="J51" s="15" t="inlineStr">
        <is>
          <t>Se a conta de origem não for encontrada (SQLCODE igual a +100), a operação é sinalizada como malsucedida com o código de falha '1'.</t>
        </is>
      </c>
      <c r="K51" s="15" t="inlineStr">
        <is>
          <t>regra de negócio</t>
        </is>
      </c>
      <c r="L51" s="15" t="inlineStr">
        <is>
          <t>Validado</t>
        </is>
      </c>
      <c r="M51" s="15" t="inlineStr">
        <is>
          <t>Mesmo desenho da DBCRFUN-005. O código '1' vira mensagem 'FROM ACCOUNT no was not found' (BNK1TFN-026). O trecho termina antes do storm drain (XFRFUN-035, Descartados).</t>
        </is>
      </c>
      <c r="N51" s="5" t="n">
        <v>2</v>
      </c>
      <c r="O51" s="14" t="n"/>
      <c r="P51" s="14" t="inlineStr">
        <is>
          <t>Não</t>
        </is>
      </c>
      <c r="Q51" s="2" t="n"/>
      <c r="R51" s="2" t="n"/>
      <c r="S51" s="2" t="n"/>
      <c r="T51" s="2" t="n"/>
      <c r="U51" s="2" t="n"/>
      <c r="V51" s="2" t="n"/>
      <c r="W51" s="2" t="n"/>
      <c r="X51" s="2" t="n"/>
      <c r="Y51" s="2" t="n"/>
      <c r="Z51" s="2" t="n"/>
    </row>
    <row r="52" hidden="1" s="16">
      <c r="A52" s="5" t="inlineStr">
        <is>
          <t>XFRFUN-037</t>
        </is>
      </c>
      <c r="B52" s="5" t="inlineStr">
        <is>
          <t>XFRFUN</t>
        </is>
      </c>
      <c r="C52" s="5" t="inlineStr">
        <is>
          <t>1011-1012</t>
        </is>
      </c>
      <c r="D52" s="5" t="inlineStr">
        <is>
          <t>1014-1017</t>
        </is>
      </c>
      <c r="E52" s="5" t="inlineStr">
        <is>
          <t>If the RESP CODE was NOT OK then we need to indicate a failure</t>
        </is>
      </c>
      <c r="F52" s="10" t="inlineStr">
        <is>
          <t xml:space="preserve">    IF SQLCODE NOT = 0
       MOVE 'N' TO COMM-SUCCESS
       MOVE '3' TO COMM-FAIL-CODE</t>
        </is>
      </c>
      <c r="G52" s="5" t="inlineStr">
        <is>
          <t>Decisão e falha</t>
        </is>
      </c>
      <c r="H52" s="5" t="inlineStr">
        <is>
          <t>IF, falha</t>
        </is>
      </c>
      <c r="I52" s="5" t="n"/>
      <c r="J52" s="19" t="n"/>
      <c r="K52" s="19" t="inlineStr">
        <is>
          <t>infraestrutura (excluída)</t>
        </is>
      </c>
      <c r="L52" s="14" t="inlineStr">
        <is>
          <t>Validado</t>
        </is>
      </c>
      <c r="M52" s="19" t="inlineStr">
        <is>
          <t>Decisão da reunião com o orientador (ponto 4): falha técnica de DB2 é infraestrutura, como na DBCRFUN-005. Regra redigida antes da decisão: Se a atualização da conta de origem falhar (SQLCODE diferente de zero), a operação é sinalizada como malsucedida com o código de falha '3'. Falha técnica de DB2 na atualização, tratada em conjunto com o código '3' da XFRFUN-034. O trecho termina antes do storm drain (XFRFUN-038, Descartados).</t>
        </is>
      </c>
      <c r="N52" s="5" t="n">
        <v>1</v>
      </c>
      <c r="O52" s="14" t="n"/>
      <c r="P52" s="14" t="n"/>
      <c r="Q52" s="2" t="n"/>
      <c r="R52" s="2" t="n"/>
      <c r="S52" s="2" t="n"/>
      <c r="T52" s="2" t="n"/>
      <c r="U52" s="2" t="n"/>
      <c r="V52" s="2" t="n"/>
      <c r="W52" s="2" t="n"/>
      <c r="X52" s="2" t="n"/>
      <c r="Y52" s="2" t="n"/>
      <c r="Z52" s="2" t="n"/>
    </row>
    <row r="53" hidden="1" s="16">
      <c r="A53" s="5" t="inlineStr">
        <is>
          <t>XFRFUN-041</t>
        </is>
      </c>
      <c r="B53" s="5" t="inlineStr">
        <is>
          <t>XFRFUN</t>
        </is>
      </c>
      <c r="C53" s="5" t="inlineStr">
        <is>
          <t>1088-1089</t>
        </is>
      </c>
      <c r="D53" s="5" t="inlineStr">
        <is>
          <t>1091-1092</t>
        </is>
      </c>
      <c r="E53" s="5" t="inlineStr">
        <is>
          <t>Check that SELECT was successful. If it wasn't then set the return flags accordingly.</t>
        </is>
      </c>
      <c r="F53" s="10" t="inlineStr">
        <is>
          <t xml:space="preserve">    IF SQLCODE NOT = 0
       MOVE 'N' TO COMM-SUCCESS</t>
        </is>
      </c>
      <c r="G53" s="5" t="inlineStr">
        <is>
          <t>Decisão e falha</t>
        </is>
      </c>
      <c r="H53" s="5" t="inlineStr">
        <is>
          <t>IF, falha</t>
        </is>
      </c>
      <c r="I53" s="5" t="n"/>
      <c r="J53" s="15" t="n"/>
      <c r="K53" s="15" t="inlineStr">
        <is>
          <t>infraestrutura (excluída)</t>
        </is>
      </c>
      <c r="L53" s="15" t="inlineStr">
        <is>
          <t>Validado</t>
        </is>
      </c>
      <c r="M53" s="15" t="inlineStr">
        <is>
          <t>Redundante: o caso de negócio está na XFRFUN-043 e o restante é falha técnica, como na DBCRFUN-005.</t>
        </is>
      </c>
      <c r="N53" s="5" t="n">
        <v>1</v>
      </c>
      <c r="O53" s="14" t="n"/>
      <c r="P53" s="14" t="n"/>
      <c r="Q53" s="2" t="n"/>
      <c r="R53" s="2" t="n"/>
      <c r="S53" s="2" t="n"/>
      <c r="T53" s="2" t="n"/>
      <c r="U53" s="2" t="n"/>
      <c r="V53" s="2" t="n"/>
      <c r="W53" s="2" t="n"/>
      <c r="X53" s="2" t="n"/>
      <c r="Y53" s="2" t="n"/>
      <c r="Z53" s="2" t="n"/>
    </row>
    <row r="54" hidden="1" s="16">
      <c r="A54" s="5" t="inlineStr">
        <is>
          <t>XFRFUN-043</t>
        </is>
      </c>
      <c r="B54" s="5" t="inlineStr">
        <is>
          <t>XFRFUN</t>
        </is>
      </c>
      <c r="C54" s="5" t="inlineStr">
        <is>
          <t>1100</t>
        </is>
      </c>
      <c r="D54" s="5" t="inlineStr">
        <is>
          <t>1102-1116</t>
        </is>
      </c>
      <c r="E54" s="5" t="inlineStr">
        <is>
          <t>If the TO account was not found</t>
        </is>
      </c>
      <c r="F54" s="10" t="inlineStr">
        <is>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is>
      </c>
      <c r="G54" s="5" t="inlineStr">
        <is>
          <t>Decisão e falha</t>
        </is>
      </c>
      <c r="H54" s="5" t="inlineStr">
        <is>
          <t>IF, falha</t>
        </is>
      </c>
      <c r="I54" s="5" t="n"/>
      <c r="J54" s="15" t="inlineStr">
        <is>
          <t>Se a conta de destino não for encontrada (SQLCODE igual a +100), a operação é sinalizada como malsucedida com o código de falha '2'.</t>
        </is>
      </c>
      <c r="K54" s="15" t="inlineStr">
        <is>
          <t>regra de negócio</t>
        </is>
      </c>
      <c r="L54" s="15" t="inlineStr">
        <is>
          <t>Validado</t>
        </is>
      </c>
      <c r="M54" s="15" t="inlineStr">
        <is>
          <t>O trecho inclui DISPLAY e rollback ('to avoid data inconsistency'), tratados como infraestrutura e fora da regra. O código '2' vira a mensagem 'TO ACCOUNT no was not found' (BNK1TFN-026).</t>
        </is>
      </c>
      <c r="N54" s="5" t="n">
        <v>2</v>
      </c>
      <c r="O54" s="14" t="n"/>
      <c r="P54" s="14" t="inlineStr">
        <is>
          <t>Não</t>
        </is>
      </c>
      <c r="Q54" s="2" t="n"/>
      <c r="R54" s="2" t="n"/>
      <c r="S54" s="2" t="n"/>
      <c r="T54" s="2" t="n"/>
      <c r="U54" s="2" t="n"/>
      <c r="V54" s="2" t="n"/>
      <c r="W54" s="2" t="n"/>
      <c r="X54" s="2" t="n"/>
      <c r="Y54" s="2" t="n"/>
      <c r="Z54" s="2" t="n"/>
    </row>
    <row r="55" hidden="1" s="16">
      <c r="A55" s="5" t="inlineStr">
        <is>
          <t>XFRFUN-044</t>
        </is>
      </c>
      <c r="B55" s="5" t="inlineStr">
        <is>
          <t>XFRFUN</t>
        </is>
      </c>
      <c r="C55" s="5" t="inlineStr">
        <is>
          <t>1118-1121</t>
        </is>
      </c>
      <c r="D55" s="5" t="inlineStr">
        <is>
          <t>1123-1125</t>
        </is>
      </c>
      <c r="E55" s="5" t="inlineStr">
        <is>
          <t>Preserve the RESP and RESP2, then set up the standard ABEND info before getting the applid, date/time etc. and linking to the Abend Handler program.</t>
        </is>
      </c>
      <c r="F55" s="10" t="inlineStr">
        <is>
          <t xml:space="preserve">             INITIALIZE ABNDINFO-REC
             MOVE EIBRESP    TO ABND-RESPCODE
             MOVE EIBRESP2   TO ABND-RESP2CODE</t>
        </is>
      </c>
      <c r="G55" s="5" t="inlineStr">
        <is>
          <t>Falha</t>
        </is>
      </c>
      <c r="H55" s="5" t="inlineStr">
        <is>
          <t>falha</t>
        </is>
      </c>
      <c r="I55" s="5" t="n"/>
      <c r="J55" s="19" t="n"/>
      <c r="K55" s="15" t="inlineStr">
        <is>
          <t>infraestrutura (excluída)</t>
        </is>
      </c>
      <c r="L55" s="15" t="inlineStr">
        <is>
          <t>Validado</t>
        </is>
      </c>
      <c r="M55" s="15" t="inlineStr">
        <is>
          <t>Montagem padrão das informações de ABEND (INITIALIZE ABNDINFO-REC; MOVE EIBRESP/EIBRESP2); tratamento técnico sem semântica bancária.</t>
        </is>
      </c>
      <c r="N55" s="5" t="n">
        <v>0</v>
      </c>
      <c r="O55" s="14" t="n"/>
      <c r="P55" s="14" t="n"/>
      <c r="Q55" s="2" t="n"/>
      <c r="R55" s="2" t="n"/>
      <c r="S55" s="2" t="n"/>
      <c r="T55" s="2" t="n"/>
      <c r="U55" s="2" t="n"/>
      <c r="V55" s="2" t="n"/>
      <c r="W55" s="2" t="n"/>
      <c r="X55" s="2" t="n"/>
      <c r="Y55" s="2" t="n"/>
      <c r="Z55" s="2" t="n"/>
    </row>
    <row r="56" hidden="1" s="16">
      <c r="A56" s="5" t="inlineStr">
        <is>
          <t>XFRFUN-045</t>
        </is>
      </c>
      <c r="B56" s="5" t="inlineStr">
        <is>
          <t>XFRFUN</t>
        </is>
      </c>
      <c r="C56" s="5" t="inlineStr">
        <is>
          <t>1127</t>
        </is>
      </c>
      <c r="D56" s="5" t="inlineStr">
        <is>
          <t>1129-1183</t>
        </is>
      </c>
      <c r="E56" s="5" t="inlineStr">
        <is>
          <t>Get supplemental information</t>
        </is>
      </c>
      <c r="F56"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'failing to read TO account '
                    ',RESP=' WS-CICS-RESP
                    ',RESP2=' WS-CICS-RESP2
             EXEC CICS ABEND
                ABCODE('HROL')
                NODUMP
                CANCEL
             END-EXEC
          END-IF
          GO TO UADT999
       ELSE</t>
        </is>
      </c>
      <c r="G56" s="5" t="inlineStr">
        <is>
          <t>Falha</t>
        </is>
      </c>
      <c r="H56" s="5" t="inlineStr">
        <is>
          <t>falha</t>
        </is>
      </c>
      <c r="I56" s="5" t="inlineStr">
        <is>
          <t>comentário curto; contém GO TO (desvio incondicional)</t>
        </is>
      </c>
      <c r="J56" s="19" t="n"/>
      <c r="K56" s="15" t="inlineStr">
        <is>
          <t>infraestrutura (excluída)</t>
        </is>
      </c>
      <c r="L56" s="15" t="inlineStr">
        <is>
          <t>Validado</t>
        </is>
      </c>
      <c r="M56" s="15" t="inlineStr">
        <is>
          <t>Coleta de informações complementares de ABEND (PERFORM POPULATE-TIME-DATE, LINK ao tratador de ABEND, ABEND); tratamento técnico sem semântica bancária. Contém GO TO UADT999 (linha 1181); o ELSE da linha 1183 é o cabeçalho do comentário seguinte.</t>
        </is>
      </c>
      <c r="N56" s="5" t="n">
        <v>0</v>
      </c>
      <c r="O56" s="14" t="n"/>
      <c r="P56" s="14" t="n"/>
      <c r="Q56" s="2" t="n"/>
      <c r="R56" s="2" t="n"/>
      <c r="S56" s="2" t="n"/>
      <c r="T56" s="2" t="n"/>
      <c r="U56" s="2" t="n"/>
      <c r="V56" s="2" t="n"/>
      <c r="W56" s="2" t="n"/>
      <c r="X56" s="2" t="n"/>
      <c r="Y56" s="2" t="n"/>
      <c r="Z56" s="2" t="n"/>
    </row>
    <row r="57" hidden="1" s="16">
      <c r="A57" s="5" t="inlineStr">
        <is>
          <t>XFRFUN-046</t>
        </is>
      </c>
      <c r="B57" s="5" t="inlineStr">
        <is>
          <t>XFRFUN</t>
        </is>
      </c>
      <c r="C57" s="5" t="inlineStr">
        <is>
          <t>1185-1186</t>
        </is>
      </c>
      <c r="D57" s="5" t="inlineStr">
        <is>
          <t>1188-1211</t>
        </is>
      </c>
      <c r="E57" s="5" t="inlineStr">
        <is>
          <t>If the failure isn't down to the row NOT being found (it failed for some other reason)</t>
        </is>
      </c>
      <c r="F57" s="10" t="inlineStr">
        <is>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is>
      </c>
      <c r="G57" s="5" t="inlineStr">
        <is>
          <t>Decisão e falha</t>
        </is>
      </c>
      <c r="H57" s="5" t="inlineStr">
        <is>
          <t>IF, falha</t>
        </is>
      </c>
      <c r="I57" s="5" t="n"/>
      <c r="J57" s="19" t="n"/>
      <c r="K57" s="19" t="inlineStr">
        <is>
          <t>infraestrutura (excluída)</t>
        </is>
      </c>
      <c r="L57" s="14" t="inlineStr">
        <is>
          <t>Validado</t>
        </is>
      </c>
      <c r="M57" s="19" t="inlineStr">
        <is>
          <t>Decisão da reunião com o orientador (ponto 4): falha técnica de DB2 é infraestrutura, como na DBCRFUN-005. Regra redigida antes da decisão: Se a leitura da conta de destino falhar por motivo diferente de conta não encontrada, a operação é sinalizada como malsucedida com o código de falha '3'. Falha técnica de DB2. O restante do trecho (tratamento de deadlock -911 com nova tentativa, rollback e ABEND) é infraestrutura. Trecho com 24 linhas: conferir o final no fonte.</t>
        </is>
      </c>
      <c r="N57" s="5" t="n">
        <v>4</v>
      </c>
      <c r="O57" s="14" t="n"/>
      <c r="P57" s="14" t="n"/>
      <c r="Q57" s="2" t="n"/>
      <c r="R57" s="2" t="n"/>
      <c r="S57" s="2" t="n"/>
      <c r="T57" s="2" t="n"/>
      <c r="U57" s="2" t="n"/>
      <c r="V57" s="2" t="n"/>
      <c r="W57" s="2" t="n"/>
      <c r="X57" s="2" t="n"/>
      <c r="Y57" s="2" t="n"/>
      <c r="Z57" s="2" t="n"/>
    </row>
    <row r="58" hidden="1" s="16">
      <c r="A58" s="5" t="inlineStr">
        <is>
          <t>XFRFUN-047</t>
        </is>
      </c>
      <c r="B58" s="5" t="inlineStr">
        <is>
          <t>XFRFUN</t>
        </is>
      </c>
      <c r="C58" s="5" t="inlineStr">
        <is>
          <t>1214-1217</t>
        </is>
      </c>
      <c r="D58" s="5" t="inlineStr">
        <is>
          <t>1219-1221</t>
        </is>
      </c>
      <c r="E58" s="5" t="inlineStr">
        <is>
          <t>Preserve the RESP and RESP2, then set up the standard ABEND info before getting the applid, date/time etc. and link to the Abend Handler program.</t>
        </is>
      </c>
      <c r="F58" s="10" t="inlineStr">
        <is>
          <t xml:space="preserve">                      INITIALIZE ABNDINFO-REC
                      MOVE EIBRESP    TO ABND-RESPCODE
                      MOVE EIBRESP2   TO ABND-RESP2CODE</t>
        </is>
      </c>
      <c r="G58" s="5" t="inlineStr">
        <is>
          <t>Falha</t>
        </is>
      </c>
      <c r="H58" s="5" t="inlineStr">
        <is>
          <t>falha</t>
        </is>
      </c>
      <c r="I58" s="5" t="n"/>
      <c r="J58" s="19" t="n"/>
      <c r="K58" s="15" t="inlineStr">
        <is>
          <t>infraestrutura (excluída)</t>
        </is>
      </c>
      <c r="L58" s="15" t="inlineStr">
        <is>
          <t>Validado</t>
        </is>
      </c>
      <c r="M58" s="15" t="inlineStr">
        <is>
          <t>Montagem padrão das informações de ABEND (INITIALIZE ABNDINFO-REC; MOVE EIBRESP/EIBRESP2); tratamento técnico sem semântica bancária.</t>
        </is>
      </c>
      <c r="N58" s="5" t="n">
        <v>0</v>
      </c>
      <c r="O58" s="14" t="n"/>
      <c r="P58" s="14" t="n"/>
      <c r="Q58" s="2" t="n"/>
      <c r="R58" s="2" t="n"/>
      <c r="S58" s="2" t="n"/>
      <c r="T58" s="2" t="n"/>
      <c r="U58" s="2" t="n"/>
      <c r="V58" s="2" t="n"/>
      <c r="W58" s="2" t="n"/>
      <c r="X58" s="2" t="n"/>
      <c r="Y58" s="2" t="n"/>
      <c r="Z58" s="2" t="n"/>
    </row>
    <row r="59" hidden="1" s="16">
      <c r="A59" s="5" t="inlineStr">
        <is>
          <t>XFRFUN-048</t>
        </is>
      </c>
      <c r="B59" s="5" t="inlineStr">
        <is>
          <t>XFRFUN</t>
        </is>
      </c>
      <c r="C59" s="5" t="inlineStr">
        <is>
          <t>1223</t>
        </is>
      </c>
      <c r="D59" s="5" t="inlineStr">
        <is>
          <t>1225-1290</t>
        </is>
      </c>
      <c r="E59" s="5" t="inlineStr">
        <is>
          <t>Get supplemental information</t>
        </is>
      </c>
      <c r="F59"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EXEC CICS DELAY FOR SECONDS(1)
                   END-EXEC
                   GO TO UPDATE-ACCOUNT-DB2
                END-IF
             END-IF
             IF SQLERRD(3) = 13172894
                DISPLAY 'TIMEOUT DETECTED!'
             END-IF</t>
        </is>
      </c>
      <c r="G59" s="5" t="inlineStr">
        <is>
          <t>Decisão e falha</t>
        </is>
      </c>
      <c r="H59" s="5" t="inlineStr">
        <is>
          <t>IF, falha</t>
        </is>
      </c>
      <c r="I59" s="5" t="inlineStr">
        <is>
          <t>comentário curto; contém GO TO (desvio incondicional)</t>
        </is>
      </c>
      <c r="J59" s="19" t="n"/>
      <c r="K59" s="15" t="inlineStr">
        <is>
          <t>infraestrutura (excluída)</t>
        </is>
      </c>
      <c r="L59" s="15" t="inlineStr">
        <is>
          <t>Validado</t>
        </is>
      </c>
      <c r="M59" s="15" t="inlineStr">
        <is>
          <t>Coleta de informações complementares de ABEND (PERFORM POPULATE-TIME-DATE, LINK ao tratador de ABEND, ABEND); tratamento técnico sem semântica bancária. Inclui, após o rollback, ABEND com código 'HROL' se ele falhar, espera de 1 segundo e GO TO UPDATE-ACCOUNT-DB2 (retentativa), além do IF SQLERRD(3) = 13172894 com DISPLAY 'TIMEOUT DETECTED!' (linha 1288): tratamento técnico de deadlock e timeout do DB2.</t>
        </is>
      </c>
      <c r="N59" s="5" t="n">
        <v>1</v>
      </c>
      <c r="O59" s="14" t="n"/>
      <c r="P59" s="14" t="n"/>
      <c r="Q59" s="2" t="n"/>
      <c r="R59" s="2" t="n"/>
      <c r="S59" s="2" t="n"/>
      <c r="T59" s="2" t="n"/>
      <c r="U59" s="2" t="n"/>
      <c r="V59" s="2" t="n"/>
      <c r="W59" s="2" t="n"/>
      <c r="X59" s="2" t="n"/>
      <c r="Y59" s="2" t="n"/>
      <c r="Z59" s="2" t="n"/>
    </row>
    <row r="60" hidden="1" s="16">
      <c r="A60" s="5" t="inlineStr">
        <is>
          <t>XFRFUN-049</t>
        </is>
      </c>
      <c r="B60" s="5" t="inlineStr">
        <is>
          <t>XFRFUN</t>
        </is>
      </c>
      <c r="C60" s="5" t="inlineStr">
        <is>
          <t>1293-1296</t>
        </is>
      </c>
      <c r="D60" s="5" t="inlineStr">
        <is>
          <t>1298-1300</t>
        </is>
      </c>
      <c r="E60" s="5" t="inlineStr">
        <is>
          <t>Preserve the RESP and RESP2, then set up the standard ABEND info before getting the applid, date/time etc. and linking to the Abend Handler program.</t>
        </is>
      </c>
      <c r="F60" s="10" t="inlineStr">
        <is>
          <t xml:space="preserve">             INITIALIZE ABNDINFO-REC
             MOVE EIBRESP    TO ABND-RESPCODE
             MOVE EIBRESP2   TO ABND-RESP2CODE</t>
        </is>
      </c>
      <c r="G60" s="5" t="inlineStr">
        <is>
          <t>Falha</t>
        </is>
      </c>
      <c r="H60" s="5" t="inlineStr">
        <is>
          <t>falha</t>
        </is>
      </c>
      <c r="I60" s="5" t="n"/>
      <c r="J60" s="19" t="n"/>
      <c r="K60" s="15" t="inlineStr">
        <is>
          <t>infraestrutura (excluída)</t>
        </is>
      </c>
      <c r="L60" s="15" t="inlineStr">
        <is>
          <t>Validado</t>
        </is>
      </c>
      <c r="M60" s="15" t="inlineStr">
        <is>
          <t>Montagem padrão das informações de ABEND (INITIALIZE ABNDINFO-REC; MOVE EIBRESP/EIBRESP2); tratamento técnico sem semântica bancária.</t>
        </is>
      </c>
      <c r="N60" s="5" t="n">
        <v>0</v>
      </c>
      <c r="O60" s="14" t="n"/>
      <c r="P60" s="14" t="n"/>
      <c r="Q60" s="2" t="n"/>
      <c r="R60" s="2" t="n"/>
      <c r="S60" s="2" t="n"/>
      <c r="T60" s="2" t="n"/>
      <c r="U60" s="2" t="n"/>
      <c r="V60" s="2" t="n"/>
      <c r="W60" s="2" t="n"/>
      <c r="X60" s="2" t="n"/>
      <c r="Y60" s="2" t="n"/>
      <c r="Z60" s="2" t="n"/>
    </row>
    <row r="61" hidden="1" s="16">
      <c r="A61" s="5" t="inlineStr">
        <is>
          <t>XFRFUN-050</t>
        </is>
      </c>
      <c r="B61" s="5" t="inlineStr">
        <is>
          <t>XFRFUN</t>
        </is>
      </c>
      <c r="C61" s="5" t="inlineStr">
        <is>
          <t>1302</t>
        </is>
      </c>
      <c r="D61" s="5" t="inlineStr">
        <is>
          <t>1304-1350</t>
        </is>
      </c>
      <c r="E61" s="5" t="inlineStr">
        <is>
          <t>Get supplemental information</t>
        </is>
      </c>
      <c r="F61"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
             END-EXEC
             EXEC CICS ABEND
                ABCODE('RUF2')
             END-EXEC
       END-IF
    END-IF.</t>
        </is>
      </c>
      <c r="G61" s="5" t="inlineStr">
        <is>
          <t>Decisão e falha</t>
        </is>
      </c>
      <c r="H61" s="5" t="inlineStr">
        <is>
          <t>IF, falha</t>
        </is>
      </c>
      <c r="I61" s="5" t="inlineStr">
        <is>
          <t>comentário curto</t>
        </is>
      </c>
      <c r="J61" s="19" t="n"/>
      <c r="K61" s="15" t="inlineStr">
        <is>
          <t>infraestrutura (excluída)</t>
        </is>
      </c>
      <c r="L61" s="15" t="inlineStr">
        <is>
          <t>Validado</t>
        </is>
      </c>
      <c r="M61" s="15" t="inlineStr">
        <is>
          <t>Coleta de informações complementares de ABEND (ASSIGN APPLID, data e hora, LINK ao tratador de ABEND); tratamento técnico sem semântica bancária. Inclui IF sobre SQLERRD(3) para mensagem de timeout.</t>
        </is>
      </c>
      <c r="N61" s="5" t="n">
        <v>1</v>
      </c>
      <c r="O61" s="14" t="n"/>
      <c r="P61" s="14" t="n"/>
      <c r="Q61" s="2" t="n"/>
      <c r="R61" s="2" t="n"/>
      <c r="S61" s="2" t="n"/>
      <c r="T61" s="2" t="n"/>
      <c r="U61" s="2" t="n"/>
      <c r="V61" s="2" t="n"/>
      <c r="W61" s="2" t="n"/>
      <c r="X61" s="2" t="n"/>
      <c r="Y61" s="2" t="n"/>
      <c r="Z61" s="2" t="n"/>
    </row>
    <row r="62" hidden="1" s="16">
      <c r="A62" s="5" t="inlineStr">
        <is>
          <t>XFRFUN-052</t>
        </is>
      </c>
      <c r="B62" s="5" t="inlineStr">
        <is>
          <t>XFRFUN</t>
        </is>
      </c>
      <c r="C62" s="5" t="inlineStr">
        <is>
          <t>1382</t>
        </is>
      </c>
      <c r="D62" s="5" t="inlineStr">
        <is>
          <t>1384-1389</t>
        </is>
      </c>
      <c r="E62" s="5" t="inlineStr">
        <is>
          <t>If the RESP CODE was NOT OK then we need to abend</t>
        </is>
      </c>
      <c r="F62" s="10" t="inlineStr">
        <is>
          <t xml:space="preserve">    IF SQLCODE NOT = 0
       MOVE SQLCODE TO SQLCODE-DISPLAY
       DISPLAY 'UNABLE TO UPDATE TO ACCOUNT.'
          HV-ACCOUNT-SORTCODE HV-ACCOUNT-ACC-NO
          'THE SQLCODE=' SQLCODE-DISPLAY
          ' SQLERRD(3) ' SQLERRD(3)</t>
        </is>
      </c>
      <c r="G62" s="5" t="inlineStr">
        <is>
          <t>Decisão e falha</t>
        </is>
      </c>
      <c r="H62" s="5" t="inlineStr">
        <is>
          <t>IF, falha</t>
        </is>
      </c>
      <c r="I62" s="5" t="n"/>
      <c r="J62" s="19" t="n"/>
      <c r="K62" s="15" t="inlineStr">
        <is>
          <t>infraestrutura (excluída)</t>
        </is>
      </c>
      <c r="L62" s="15" t="inlineStr">
        <is>
          <t>Validado</t>
        </is>
      </c>
      <c r="M62" s="15" t="inlineStr">
        <is>
          <t>Falha na atualização da conta de destino (SQLCODE diferente de zero): exibe diagnóstico e leva a ABEND; tratamento técnico de DB2.</t>
        </is>
      </c>
      <c r="N62" s="5" t="n">
        <v>1</v>
      </c>
      <c r="O62" s="14" t="n"/>
      <c r="P62" s="14" t="n"/>
      <c r="Q62" s="2" t="n"/>
      <c r="R62" s="2" t="n"/>
      <c r="S62" s="2" t="n"/>
      <c r="T62" s="2" t="n"/>
      <c r="U62" s="2" t="n"/>
      <c r="V62" s="2" t="n"/>
      <c r="W62" s="2" t="n"/>
      <c r="X62" s="2" t="n"/>
      <c r="Y62" s="2" t="n"/>
      <c r="Z62" s="2" t="n"/>
    </row>
    <row r="63" hidden="1" s="16">
      <c r="A63" s="5" t="inlineStr">
        <is>
          <t>XFRFUN-053</t>
        </is>
      </c>
      <c r="B63" s="5" t="inlineStr">
        <is>
          <t>XFRFUN</t>
        </is>
      </c>
      <c r="C63" s="5" t="inlineStr">
        <is>
          <t>1392-1393</t>
        </is>
      </c>
      <c r="D63" s="5" t="inlineStr">
        <is>
          <t>1395-1409</t>
        </is>
      </c>
      <c r="E63" s="5" t="inlineStr">
        <is>
          <t>Check if SQLCODE indicates that Storm Drain processing is applicable in a workload if activated</t>
        </is>
      </c>
      <c r="F63" s="10" t="inlineStr">
        <is>
          <t xml:space="preserve">       PERFORM CHECK-FOR-STORM-DRAIN-DB2
       IF SQLCODE = -911
          IF SQLERRD(3) = 13172872
             DISPLAY 'DEADLOCK DETECTED!'
             ADD 1 TO DB2-DEADLOCK-RETRY
             IF DB2-DEADLOCK-RETRY &lt; 6
                EXEC CICS SYNCPOINT
                   ROLLBACK
                   RESP(WS-CICS-RESP)
                   RESP2(WS-CICS-RESP2)
                END-EXEC
                IF WS-CICS-RESP IS NOT EQUAL TO DFHRESP(NORMAL)</t>
        </is>
      </c>
      <c r="G63" s="5" t="inlineStr">
        <is>
          <t>Decisão e falha</t>
        </is>
      </c>
      <c r="H63" s="5" t="inlineStr">
        <is>
          <t>IF, falha</t>
        </is>
      </c>
      <c r="I63" s="5" t="n"/>
      <c r="J63" s="19" t="n"/>
      <c r="K63" s="15" t="inlineStr">
        <is>
          <t>infraestrutura (excluída)</t>
        </is>
      </c>
      <c r="L63" s="15" t="inlineStr">
        <is>
          <t>Validado</t>
        </is>
      </c>
      <c r="M63" s="15" t="inlineStr">
        <is>
          <t>Detecção de deadlock (SQLCODE -911) com nova tentativa limitada (DB2-DEADLOCK-RETRY &lt; 6) e rollback; verificação de storm drain. Política de reexecução técnica; infraestrutura.</t>
        </is>
      </c>
      <c r="N63" s="5" t="n">
        <v>4</v>
      </c>
      <c r="O63" s="14" t="n"/>
      <c r="P63" s="14" t="n"/>
      <c r="Q63" s="2" t="n"/>
      <c r="R63" s="2" t="n"/>
      <c r="S63" s="2" t="n"/>
      <c r="T63" s="2" t="n"/>
      <c r="U63" s="2" t="n"/>
      <c r="V63" s="2" t="n"/>
      <c r="W63" s="2" t="n"/>
      <c r="X63" s="2" t="n"/>
      <c r="Y63" s="2" t="n"/>
      <c r="Z63" s="2" t="n"/>
    </row>
    <row r="64" hidden="1" s="16">
      <c r="A64" s="5" t="inlineStr">
        <is>
          <t>XFRFUN-054</t>
        </is>
      </c>
      <c r="B64" s="5" t="inlineStr">
        <is>
          <t>XFRFUN</t>
        </is>
      </c>
      <c r="C64" s="5" t="inlineStr">
        <is>
          <t>1412-1415</t>
        </is>
      </c>
      <c r="D64" s="5" t="inlineStr">
        <is>
          <t>1417-1419</t>
        </is>
      </c>
      <c r="E64" s="5" t="inlineStr">
        <is>
          <t>Preserve the RESP and RESP2, then set up the standard ABEND info before getting the applid, date/time etc. and linking to the Abend Handler program.</t>
        </is>
      </c>
      <c r="F64" s="10" t="inlineStr">
        <is>
          <t xml:space="preserve">                   INITIALIZE ABNDINFO-REC
                   MOVE EIBRESP    TO ABND-RESPCODE
                   MOVE EIBRESP2   TO ABND-RESP2CODE</t>
        </is>
      </c>
      <c r="G64" s="5" t="inlineStr">
        <is>
          <t>Falha</t>
        </is>
      </c>
      <c r="H64" s="5" t="inlineStr">
        <is>
          <t>falha</t>
        </is>
      </c>
      <c r="I64" s="5" t="n"/>
      <c r="J64" s="19" t="n"/>
      <c r="K64" s="15" t="inlineStr">
        <is>
          <t>infraestrutura (excluída)</t>
        </is>
      </c>
      <c r="L64" s="15" t="inlineStr">
        <is>
          <t>Validado</t>
        </is>
      </c>
      <c r="M64" s="15" t="inlineStr">
        <is>
          <t>Montagem padrão das informações de ABEND (INITIALIZE ABNDINFO-REC; MOVE EIBRESP/EIBRESP2); tratamento técnico sem semântica bancária.</t>
        </is>
      </c>
      <c r="N64" s="5" t="n">
        <v>0</v>
      </c>
      <c r="O64" s="14" t="n"/>
      <c r="P64" s="14" t="n"/>
      <c r="Q64" s="2" t="n"/>
      <c r="R64" s="2" t="n"/>
      <c r="S64" s="2" t="n"/>
      <c r="T64" s="2" t="n"/>
      <c r="U64" s="2" t="n"/>
      <c r="V64" s="2" t="n"/>
      <c r="W64" s="2" t="n"/>
      <c r="X64" s="2" t="n"/>
      <c r="Y64" s="2" t="n"/>
      <c r="Z64" s="2" t="n"/>
    </row>
    <row r="65" hidden="1" s="16">
      <c r="A65" s="5" t="inlineStr">
        <is>
          <t>XFRFUN-055</t>
        </is>
      </c>
      <c r="B65" s="5" t="inlineStr">
        <is>
          <t>XFRFUN</t>
        </is>
      </c>
      <c r="C65" s="5" t="inlineStr">
        <is>
          <t>1421</t>
        </is>
      </c>
      <c r="D65" s="5" t="inlineStr">
        <is>
          <t>1423-1490</t>
        </is>
      </c>
      <c r="E65" s="5" t="inlineStr">
        <is>
          <t>Get supplemental information</t>
        </is>
      </c>
      <c r="F65"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 after updating TO account '
                      ',RESP=' WS-CICS-RESP
                      ',RESP2=' WS-CICS-RESP2
                   EXEC CICS ABEND
                      ABCODE('HROL')
                      NODUMP
                      CANCEL
                   END-EXEC
                END-IF
                EXEC CICS DELAY FOR SECONDS(1)
                END-EXEC
                GO TO UPDATE-ACCOUNT-DB2
             END-IF
          END-IF
          IF SQLERRD(3) = 13172872
             DISPLAY 'TIMEOUT DETECTED!'
          END-IF
       END-IF</t>
        </is>
      </c>
      <c r="G65" s="5" t="inlineStr">
        <is>
          <t>Decisão e falha</t>
        </is>
      </c>
      <c r="H65" s="5" t="inlineStr">
        <is>
          <t>IF, falha</t>
        </is>
      </c>
      <c r="I65" s="5" t="inlineStr">
        <is>
          <t>comentário curto; contém GO TO (desvio incondicional)</t>
        </is>
      </c>
      <c r="J65" s="19" t="n"/>
      <c r="K65" s="15" t="inlineStr">
        <is>
          <t>infraestrutura (excluída)</t>
        </is>
      </c>
      <c r="L65" s="15" t="inlineStr">
        <is>
          <t>Validado</t>
        </is>
      </c>
      <c r="M65" s="15" t="inlineStr">
        <is>
          <t>Coleta de informações complementares de ABEND (PERFORM POPULATE-TIME-DATE, LINK ao tratador de ABEND, ABEND); tratamento técnico sem semântica bancária. Mesmo padrão da XFRFUN-048: retentativa do UPDATE (GO TO UPDATE-ACCOUNT-DB2, linha 1479) e IF SQLERRD(3) = 13172872 (linha 1485); tratamento técnico de deadlock e timeout do DB2.</t>
        </is>
      </c>
      <c r="N65" s="5" t="n">
        <v>1</v>
      </c>
      <c r="O65" s="14" t="n"/>
      <c r="P65" s="14" t="n"/>
      <c r="Q65" s="2" t="n"/>
      <c r="R65" s="2" t="n"/>
      <c r="S65" s="2" t="n"/>
      <c r="T65" s="2" t="n"/>
      <c r="U65" s="2" t="n"/>
      <c r="V65" s="2" t="n"/>
      <c r="W65" s="2" t="n"/>
      <c r="X65" s="2" t="n"/>
      <c r="Y65" s="2" t="n"/>
      <c r="Z65" s="2" t="n"/>
    </row>
    <row r="66" hidden="1" s="16">
      <c r="A66" s="5" t="inlineStr">
        <is>
          <t>XFRFUN-056</t>
        </is>
      </c>
      <c r="B66" s="5" t="inlineStr">
        <is>
          <t>XFRFUN</t>
        </is>
      </c>
      <c r="C66" s="5" t="inlineStr">
        <is>
          <t>1493-1496</t>
        </is>
      </c>
      <c r="D66" s="5" t="inlineStr">
        <is>
          <t>1498-1500</t>
        </is>
      </c>
      <c r="E66" s="5" t="inlineStr">
        <is>
          <t>Preserve the RESP and RESP2, then set up the standard ABEND info before getting the applid, date/time etc. and linking to the Abend Handler program.</t>
        </is>
      </c>
      <c r="F66" s="10" t="inlineStr">
        <is>
          <t xml:space="preserve">       INITIALIZE ABNDINFO-REC
       MOVE EIBRESP    TO ABND-RESPCODE
       MOVE EIBRESP2   TO ABND-RESP2CODE</t>
        </is>
      </c>
      <c r="G66" s="5" t="inlineStr">
        <is>
          <t>Falha</t>
        </is>
      </c>
      <c r="H66" s="5" t="inlineStr">
        <is>
          <t>falha</t>
        </is>
      </c>
      <c r="I66" s="5" t="n"/>
      <c r="J66" s="19" t="n"/>
      <c r="K66" s="15" t="inlineStr">
        <is>
          <t>infraestrutura (excluída)</t>
        </is>
      </c>
      <c r="L66" s="15" t="inlineStr">
        <is>
          <t>Validado</t>
        </is>
      </c>
      <c r="M66" s="15" t="inlineStr">
        <is>
          <t>Montagem padrão das informações de ABEND (INITIALIZE ABNDINFO-REC; MOVE EIBRESP/EIBRESP2); tratamento técnico sem semântica bancária.</t>
        </is>
      </c>
      <c r="N66" s="5" t="n">
        <v>0</v>
      </c>
      <c r="O66" s="14" t="n"/>
      <c r="P66" s="14" t="n"/>
      <c r="Q66" s="2" t="n"/>
      <c r="R66" s="2" t="n"/>
      <c r="S66" s="2" t="n"/>
      <c r="T66" s="2" t="n"/>
      <c r="U66" s="2" t="n"/>
      <c r="V66" s="2" t="n"/>
      <c r="W66" s="2" t="n"/>
      <c r="X66" s="2" t="n"/>
      <c r="Y66" s="2" t="n"/>
      <c r="Z66" s="2" t="n"/>
    </row>
    <row r="67" hidden="1" s="16">
      <c r="A67" s="5" t="inlineStr">
        <is>
          <t>XFRFUN-057</t>
        </is>
      </c>
      <c r="B67" s="5" t="inlineStr">
        <is>
          <t>XFRFUN</t>
        </is>
      </c>
      <c r="C67" s="5" t="inlineStr">
        <is>
          <t>1502</t>
        </is>
      </c>
      <c r="D67" s="5" t="inlineStr">
        <is>
          <t>1504-1549</t>
        </is>
      </c>
      <c r="E67" s="5" t="inlineStr">
        <is>
          <t>Get supplemental information</t>
        </is>
      </c>
      <c r="F67"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
       END-EXEC
       EXEC CICS
          ABEND ABCODE ('RUF3')
       END-EXEC
    END-IF.</t>
        </is>
      </c>
      <c r="G67" s="5" t="inlineStr">
        <is>
          <t>Decisão e falha</t>
        </is>
      </c>
      <c r="H67" s="5" t="inlineStr">
        <is>
          <t>IF, falha</t>
        </is>
      </c>
      <c r="I67" s="5" t="inlineStr">
        <is>
          <t>comentário curto</t>
        </is>
      </c>
      <c r="J67" s="19" t="n"/>
      <c r="K67" s="15" t="inlineStr">
        <is>
          <t>infraestrutura (excluída)</t>
        </is>
      </c>
      <c r="L67" s="15" t="inlineStr">
        <is>
          <t>Validado</t>
        </is>
      </c>
      <c r="M67" s="15" t="inlineStr">
        <is>
          <t>Coleta de informações complementares de ABEND (ASSIGN APPLID, data e hora, LINK ao tratador de ABEND); tratamento técnico sem semântica bancária. Inclui IF sobre SQLERRD(3) para mensagem de timeout.</t>
        </is>
      </c>
      <c r="N67" s="5" t="n">
        <v>1</v>
      </c>
      <c r="O67" s="14" t="n"/>
      <c r="P67" s="14" t="n"/>
      <c r="Q67" s="2" t="n"/>
      <c r="R67" s="2" t="n"/>
      <c r="S67" s="2" t="n"/>
      <c r="T67" s="2" t="n"/>
      <c r="U67" s="2" t="n"/>
      <c r="V67" s="2" t="n"/>
      <c r="W67" s="2" t="n"/>
      <c r="X67" s="2" t="n"/>
      <c r="Y67" s="2" t="n"/>
      <c r="Z67" s="2" t="n"/>
    </row>
    <row r="68" hidden="1" s="16">
      <c r="A68" s="5" t="inlineStr">
        <is>
          <t>XFRFUN-061</t>
        </is>
      </c>
      <c r="B68" s="5" t="inlineStr">
        <is>
          <t>XFRFUN</t>
        </is>
      </c>
      <c r="C68" s="5" t="inlineStr">
        <is>
          <t>1644</t>
        </is>
      </c>
      <c r="D68" s="5" t="inlineStr">
        <is>
          <t>1646-1648</t>
        </is>
      </c>
      <c r="E68" s="5" t="inlineStr">
        <is>
          <t>Check the SQLCODE</t>
        </is>
      </c>
      <c r="F68" s="10" t="inlineStr">
        <is>
          <t xml:space="preserve">    IF SQLCODE NOT = 0
       MOVE SQLCODE TO WS-SQLCODE-DISP</t>
        </is>
      </c>
      <c r="G68" s="5" t="inlineStr">
        <is>
          <t>Decisão e falha</t>
        </is>
      </c>
      <c r="H68" s="5" t="inlineStr">
        <is>
          <t>IF, falha</t>
        </is>
      </c>
      <c r="I68" s="5" t="inlineStr">
        <is>
          <t>comentário curto</t>
        </is>
      </c>
      <c r="J68" s="19" t="n"/>
      <c r="K68" s="15" t="inlineStr">
        <is>
          <t>infraestrutura (excluída)</t>
        </is>
      </c>
      <c r="L68" s="15" t="inlineStr">
        <is>
          <t>Validado</t>
        </is>
      </c>
      <c r="M68" s="15" t="inlineStr">
        <is>
          <t>Falha na gravação em PROCTRAN (SQLCODE diferente de zero): converte SQLCODE para exibição; segue para storm drain e ABEND 'WPCD' (XFRFUN-064). Tratamento técnico.</t>
        </is>
      </c>
      <c r="N68" s="5" t="n">
        <v>1</v>
      </c>
      <c r="O68" s="14" t="n"/>
      <c r="P68" s="14" t="n"/>
      <c r="Q68" s="2" t="n"/>
      <c r="R68" s="2" t="n"/>
      <c r="S68" s="2" t="n"/>
      <c r="T68" s="2" t="n"/>
      <c r="U68" s="2" t="n"/>
      <c r="V68" s="2" t="n"/>
      <c r="W68" s="2" t="n"/>
      <c r="X68" s="2" t="n"/>
      <c r="Y68" s="2" t="n"/>
      <c r="Z68" s="2" t="n"/>
    </row>
    <row r="69" hidden="1" s="16">
      <c r="A69" s="5" t="inlineStr">
        <is>
          <t>XFRFUN-062</t>
        </is>
      </c>
      <c r="B69" s="5" t="inlineStr">
        <is>
          <t>XFRFUN</t>
        </is>
      </c>
      <c r="C69" s="5" t="inlineStr">
        <is>
          <t>1650-1653</t>
        </is>
      </c>
      <c r="D69" s="5" t="inlineStr">
        <is>
          <t>1655-1657</t>
        </is>
      </c>
      <c r="E69" s="5" t="inlineStr">
        <is>
          <t>Preserve the RESP and RESP2, then set up the standard ABEND info before getting the applid, date/time etc. and linking to the Abend Handler program.</t>
        </is>
      </c>
      <c r="F69" s="10" t="inlineStr">
        <is>
          <t xml:space="preserve">       INITIALIZE ABNDINFO-REC
       MOVE EIBRESP    TO ABND-RESPCODE
       MOVE EIBRESP2   TO ABND-RESP2CODE</t>
        </is>
      </c>
      <c r="G69" s="5" t="inlineStr">
        <is>
          <t>Falha</t>
        </is>
      </c>
      <c r="H69" s="5" t="inlineStr">
        <is>
          <t>falha</t>
        </is>
      </c>
      <c r="I69" s="5" t="n"/>
      <c r="J69" s="19" t="n"/>
      <c r="K69" s="15" t="inlineStr">
        <is>
          <t>infraestrutura (excluída)</t>
        </is>
      </c>
      <c r="L69" s="15" t="inlineStr">
        <is>
          <t>Validado</t>
        </is>
      </c>
      <c r="M69" s="15" t="inlineStr">
        <is>
          <t>Montagem padrão das informações de ABEND (INITIALIZE ABNDINFO-REC; MOVE EIBRESP/EIBRESP2); tratamento técnico sem semântica bancária.</t>
        </is>
      </c>
      <c r="N69" s="5" t="n">
        <v>0</v>
      </c>
      <c r="O69" s="14" t="n"/>
      <c r="P69" s="14" t="n"/>
      <c r="Q69" s="2" t="n"/>
      <c r="R69" s="2" t="n"/>
      <c r="S69" s="2" t="n"/>
      <c r="T69" s="2" t="n"/>
      <c r="U69" s="2" t="n"/>
      <c r="V69" s="2" t="n"/>
      <c r="W69" s="2" t="n"/>
      <c r="X69" s="2" t="n"/>
      <c r="Y69" s="2" t="n"/>
      <c r="Z69" s="2" t="n"/>
    </row>
    <row r="70" hidden="1" s="16">
      <c r="A70" s="5" t="inlineStr">
        <is>
          <t>XFRFUN-063</t>
        </is>
      </c>
      <c r="B70" s="5" t="inlineStr">
        <is>
          <t>XFRFUN</t>
        </is>
      </c>
      <c r="C70" s="5" t="inlineStr">
        <is>
          <t>1659</t>
        </is>
      </c>
      <c r="D70" s="5" t="inlineStr">
        <is>
          <t>1661-1708</t>
        </is>
      </c>
      <c r="E70" s="5" t="inlineStr">
        <is>
          <t>Get supplemental information</t>
        </is>
      </c>
      <c r="F70"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
             INTO ABND-FREEFORM
       END-STRING
       EXEC CICS LINK PROGRAM(WS-ABEND-PGM)
                 COMMAREA(ABNDINFO-REC)
       END-EXEC
       DISPLAY 'UNABLE TO WRITE TO PROCTRAN DB2 DATASTORE'
       ' SQLCODE=' SQLCODE
       'WITH THE FOLLOWING DATA:' HOST-PROCTRAN-ROW
       DISPLAY 'DATA INCONSISTENCY, DATA UPDATED ON ACCOUNT'</t>
        </is>
      </c>
      <c r="G70" s="5" t="inlineStr">
        <is>
          <t>Falha</t>
        </is>
      </c>
      <c r="H70" s="5" t="inlineStr">
        <is>
          <t>falha</t>
        </is>
      </c>
      <c r="I70" s="5" t="inlineStr">
        <is>
          <t>comentário curto</t>
        </is>
      </c>
      <c r="J70" s="19" t="n"/>
      <c r="K70" s="15" t="inlineStr">
        <is>
          <t>infraestrutura (excluída)</t>
        </is>
      </c>
      <c r="L70" s="15" t="inlineStr">
        <is>
          <t>Validado</t>
        </is>
      </c>
      <c r="M70" s="15" t="inlineStr">
        <is>
          <t>Coleta de informações complementares de ABEND (PERFORM POPULATE-TIME-DATE, LINK ao tratador de ABEND, ABEND); tratamento técnico sem semântica bancária. SQLCODE aparece apenas na mensagem de ABEND.</t>
        </is>
      </c>
      <c r="N70" s="5" t="n">
        <v>0</v>
      </c>
      <c r="O70" s="14" t="n"/>
      <c r="P70" s="14" t="n"/>
      <c r="Q70" s="2" t="n"/>
      <c r="R70" s="2" t="n"/>
      <c r="S70" s="2" t="n"/>
      <c r="T70" s="2" t="n"/>
      <c r="U70" s="2" t="n"/>
      <c r="V70" s="2" t="n"/>
      <c r="W70" s="2" t="n"/>
      <c r="X70" s="2" t="n"/>
      <c r="Y70" s="2" t="n"/>
      <c r="Z70" s="2" t="n"/>
    </row>
    <row r="71" hidden="1" s="16">
      <c r="A71" s="5" t="inlineStr">
        <is>
          <t>XFRFUN-064</t>
        </is>
      </c>
      <c r="B71" s="5" t="inlineStr">
        <is>
          <t>XFRFUN</t>
        </is>
      </c>
      <c r="C71" s="5" t="inlineStr">
        <is>
          <t>1711-1712</t>
        </is>
      </c>
      <c r="D71" s="5" t="inlineStr">
        <is>
          <t>1714-1738</t>
        </is>
      </c>
      <c r="E71" s="5" t="inlineStr">
        <is>
          <t>Check if SQLCODE indicates that Storm Drain processing is applicable in a workload if activated</t>
        </is>
      </c>
      <c r="F71" s="10" t="inlineStr">
        <is>
          <t xml:space="preserve">       PERFORM CHECK-FOR-STORM-DRAIN-DB2
       EXEC CICS ABEND
          ABCODE('WPCD')
       END-EXEC
    END-IF.
WTPD999.
    EXIT.
GET-ME-OUT-OF-HERE SECTION.
GMOOH010.
    EXEC CICS RETURN
    END-EXEC.
    GOBACK.
GMOOH999.
    EXIT.
CHECK-FOR-STORM-DRAIN-DB2 SECTION.
CFSDD010.</t>
        </is>
      </c>
      <c r="G71" s="5" t="inlineStr">
        <is>
          <t>Falha</t>
        </is>
      </c>
      <c r="H71" s="5" t="inlineStr">
        <is>
          <t>falha</t>
        </is>
      </c>
      <c r="I71" s="5" t="n"/>
      <c r="J71" s="19" t="n"/>
      <c r="K71" s="15" t="inlineStr">
        <is>
          <t>infraestrutura (excluída)</t>
        </is>
      </c>
      <c r="L71" s="15" t="inlineStr">
        <is>
          <t>Validado</t>
        </is>
      </c>
      <c r="M71" s="15" t="inlineStr">
        <is>
          <t>Verificação de storm drain e ABEND 'WPCD' após falha na gravação em PROCTRAN. O trecho atravessa seções (WRITE-TO-PROCTRAN-DB2, GET-ME-OUT-OF-HERE, CHECK-FOR-STORM-DRAIN-DB2): efeito de corte do extrator. Infraestrutura.</t>
        </is>
      </c>
      <c r="N71" s="5" t="n">
        <v>0</v>
      </c>
      <c r="O71" s="14" t="n"/>
      <c r="P71" s="14" t="n"/>
      <c r="Q71" s="2" t="n"/>
      <c r="R71" s="2" t="n"/>
      <c r="S71" s="2" t="n"/>
      <c r="T71" s="2" t="n"/>
      <c r="U71" s="2" t="n"/>
      <c r="V71" s="2" t="n"/>
      <c r="W71" s="2" t="n"/>
      <c r="X71" s="2" t="n"/>
      <c r="Y71" s="2" t="n"/>
      <c r="Z71" s="2" t="n"/>
    </row>
    <row r="72" hidden="1" s="16">
      <c r="A72" s="5" t="inlineStr">
        <is>
          <t>XFRFUN-065</t>
        </is>
      </c>
      <c r="B72" s="5" t="inlineStr">
        <is>
          <t>XFRFUN</t>
        </is>
      </c>
      <c r="C72" s="5" t="inlineStr">
        <is>
          <t>1741-1742</t>
        </is>
      </c>
      <c r="D72" s="5" t="inlineStr">
        <is>
          <t>1744-1770</t>
        </is>
      </c>
      <c r="E72" s="5" t="inlineStr">
        <is>
          <t>Check if the Sqlcode that is returned one that will trigger Storm Drain is active in Workload</t>
        </is>
      </c>
      <c r="F72" s="10" t="inlineStr">
        <is>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is>
      </c>
      <c r="G72" s="5" t="inlineStr">
        <is>
          <t>Decisão e falha</t>
        </is>
      </c>
      <c r="H72" s="5" t="inlineStr">
        <is>
          <t>IF, EVALUATE, WHEN, falha</t>
        </is>
      </c>
      <c r="I72" s="5" t="n"/>
      <c r="J72" s="19" t="n"/>
      <c r="K72" s="15" t="inlineStr">
        <is>
          <t>infraestrutura (excluída)</t>
        </is>
      </c>
      <c r="L72" s="15" t="inlineStr">
        <is>
          <t>Validado</t>
        </is>
      </c>
      <c r="M72" s="15" t="inlineStr">
        <is>
          <t>Verificação de condição de storm drain do DB2 (EVALUATE SQLCODE, WHEN 923); infraestrutura.</t>
        </is>
      </c>
      <c r="N72" s="5" t="n">
        <v>4</v>
      </c>
      <c r="O72" s="14" t="n"/>
      <c r="P72" s="14" t="n"/>
      <c r="Q72" s="2" t="n"/>
      <c r="R72" s="2" t="n"/>
      <c r="S72" s="2" t="n"/>
      <c r="T72" s="2" t="n"/>
      <c r="U72" s="2" t="n"/>
      <c r="V72" s="2" t="n"/>
      <c r="W72" s="2" t="n"/>
      <c r="X72" s="2" t="n"/>
      <c r="Y72" s="2" t="n"/>
      <c r="Z72" s="2" t="n"/>
    </row>
    <row r="73" hidden="1" s="16">
      <c r="A73" s="5" t="inlineStr">
        <is>
          <t>XFRFUN-067</t>
        </is>
      </c>
      <c r="B73" s="5" t="inlineStr">
        <is>
          <t>XFRFUN</t>
        </is>
      </c>
      <c r="C73" s="5" t="inlineStr">
        <is>
          <t>1779-1784</t>
        </is>
      </c>
      <c r="D73" s="5" t="inlineStr">
        <is>
          <t>1786</t>
        </is>
      </c>
      <c r="E73" s="5" t="inlineStr">
        <is>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is>
      </c>
      <c r="F73" s="10" t="inlineStr">
        <is>
          <t xml:space="preserve">    EVALUATE MY-ABEND-CODE</t>
        </is>
      </c>
      <c r="G73" s="5" t="inlineStr">
        <is>
          <t>Decisão</t>
        </is>
      </c>
      <c r="H73" s="5" t="inlineStr">
        <is>
          <t>EVALUATE</t>
        </is>
      </c>
      <c r="I73" s="5" t="n"/>
      <c r="J73" s="19" t="n"/>
      <c r="K73" s="15" t="inlineStr">
        <is>
          <t>infraestrutura (excluída)</t>
        </is>
      </c>
      <c r="L73" s="15" t="inlineStr">
        <is>
          <t>Validado</t>
        </is>
      </c>
      <c r="M73" s="15" t="inlineStr">
        <is>
          <t>Avaliação do código de ABEND (EVALUATE MY-ABEND-CODE) para diagnóstico e storm drain de DB2 e VSAM; infraestrutura.</t>
        </is>
      </c>
      <c r="N73" s="5" t="n">
        <v>1</v>
      </c>
      <c r="O73" s="14" t="n"/>
      <c r="P73" s="14" t="n"/>
      <c r="Q73" s="2" t="n"/>
      <c r="R73" s="2" t="n"/>
      <c r="S73" s="2" t="n"/>
      <c r="T73" s="2" t="n"/>
      <c r="U73" s="2" t="n"/>
      <c r="V73" s="2" t="n"/>
      <c r="W73" s="2" t="n"/>
      <c r="X73" s="2" t="n"/>
      <c r="Y73" s="2" t="n"/>
      <c r="Z73" s="2" t="n"/>
    </row>
    <row r="74" hidden="1" s="16">
      <c r="A74" s="5" t="inlineStr">
        <is>
          <t>XFRFUN-068</t>
        </is>
      </c>
      <c r="B74" s="5" t="inlineStr">
        <is>
          <t>XFRFUN</t>
        </is>
      </c>
      <c r="C74" s="5" t="inlineStr">
        <is>
          <t>1789</t>
        </is>
      </c>
      <c r="D74" s="5" t="inlineStr">
        <is>
          <t>1791-1821</t>
        </is>
      </c>
      <c r="E74" s="5" t="inlineStr">
        <is>
          <t>DB2 AD2Z abend</t>
        </is>
      </c>
      <c r="F74" s="10" t="inlineStr">
        <is>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is>
      </c>
      <c r="G74" s="5" t="inlineStr">
        <is>
          <t>Decisão e falha</t>
        </is>
      </c>
      <c r="H74" s="5" t="inlineStr">
        <is>
          <t>IF, WHEN, falha</t>
        </is>
      </c>
      <c r="I74" s="5" t="inlineStr">
        <is>
          <t>comentário curto</t>
        </is>
      </c>
      <c r="J74" s="19" t="n"/>
      <c r="K74" s="15" t="inlineStr">
        <is>
          <t>infraestrutura (excluída)</t>
        </is>
      </c>
      <c r="L74" s="15" t="inlineStr">
        <is>
          <t>Validado</t>
        </is>
      </c>
      <c r="M74" s="15" t="inlineStr">
        <is>
          <t>Tratamento dos ABEND AD2Z (deadlock DB2) e AFCR/AFCS/AFCT (VSAM RLS, storm drain) com rollback; infraestrutura.</t>
        </is>
      </c>
      <c r="N74" s="5" t="n">
        <v>5</v>
      </c>
      <c r="O74" s="14" t="n"/>
      <c r="P74" s="14" t="n"/>
      <c r="Q74" s="2" t="n"/>
      <c r="R74" s="2" t="n"/>
      <c r="S74" s="2" t="n"/>
      <c r="T74" s="2" t="n"/>
      <c r="U74" s="2" t="n"/>
      <c r="V74" s="2" t="n"/>
      <c r="W74" s="2" t="n"/>
      <c r="X74" s="2" t="n"/>
      <c r="Y74" s="2" t="n"/>
      <c r="Z74" s="2" t="n"/>
    </row>
    <row r="75" hidden="1" s="16">
      <c r="A75" s="5" t="inlineStr">
        <is>
          <t>XFRFUN-069</t>
        </is>
      </c>
      <c r="B75" s="5" t="inlineStr">
        <is>
          <t>XFRFUN</t>
        </is>
      </c>
      <c r="C75" s="5" t="inlineStr">
        <is>
          <t>1823-1826</t>
        </is>
      </c>
      <c r="D75" s="5" t="inlineStr">
        <is>
          <t>1828-1830</t>
        </is>
      </c>
      <c r="E75" s="5" t="inlineStr">
        <is>
          <t>Preserve the RESP and RESP2, then set up the standard ABEND info before getting the applid, date/time etc. and linking to the Abend Handler program.</t>
        </is>
      </c>
      <c r="F75" s="10" t="inlineStr">
        <is>
          <t xml:space="preserve">             INITIALIZE ABNDINFO-REC
             MOVE EIBRESP    TO ABND-RESPCODE
             MOVE EIBRESP2   TO ABND-RESP2CODE</t>
        </is>
      </c>
      <c r="G75" s="5" t="inlineStr">
        <is>
          <t>Falha</t>
        </is>
      </c>
      <c r="H75" s="5" t="inlineStr">
        <is>
          <t>falha</t>
        </is>
      </c>
      <c r="I75" s="5" t="n"/>
      <c r="J75" s="19" t="n"/>
      <c r="K75" s="15" t="inlineStr">
        <is>
          <t>infraestrutura (excluída)</t>
        </is>
      </c>
      <c r="L75" s="15" t="inlineStr">
        <is>
          <t>Validado</t>
        </is>
      </c>
      <c r="M75" s="15" t="inlineStr">
        <is>
          <t>Montagem padrão das informações de ABEND (INITIALIZE ABNDINFO-REC; MOVE EIBRESP/EIBRESP2); tratamento técnico sem semântica bancária.</t>
        </is>
      </c>
      <c r="N75" s="5" t="n">
        <v>0</v>
      </c>
      <c r="O75" s="14" t="n"/>
      <c r="P75" s="14" t="n"/>
      <c r="Q75" s="2" t="n"/>
      <c r="R75" s="2" t="n"/>
      <c r="S75" s="2" t="n"/>
      <c r="T75" s="2" t="n"/>
      <c r="U75" s="2" t="n"/>
      <c r="V75" s="2" t="n"/>
      <c r="W75" s="2" t="n"/>
      <c r="X75" s="2" t="n"/>
      <c r="Y75" s="2" t="n"/>
      <c r="Z75" s="2" t="n"/>
    </row>
    <row r="76" hidden="1" s="16">
      <c r="A76" s="5" t="inlineStr">
        <is>
          <t>XFRFUN-070</t>
        </is>
      </c>
      <c r="B76" s="5" t="inlineStr">
        <is>
          <t>XFRFUN</t>
        </is>
      </c>
      <c r="C76" s="5" t="inlineStr">
        <is>
          <t>1832</t>
        </is>
      </c>
      <c r="D76" s="5" t="inlineStr">
        <is>
          <t>1834-1924</t>
        </is>
      </c>
      <c r="E76" s="5" t="inlineStr">
        <is>
          <t>Get supplemental information</t>
        </is>
      </c>
      <c r="F76"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
             END-STRING
             EXEC CICS LINK PROGRAM(WS-ABEND-PGM)
                    COMMAREA(ABNDINFO-REC)
             END-EXEC
             DISPLAY 'XFRFUN: Unable to perform Syncpoint '
                'Rollback. Possible Integrity issue following '
                ' VSAM RLS abend RESP CODE='
                WS-CICS-RESP ' RESP2 CODE=' WS-CICS-RESP2
             EXEC CICS
                ABEND
                ABCODE ('HROL')
             END-EXEC
          END-IF
          MOVE 'N' TO COMM-SUCCESS
          MOVE '2' TO COMM-FAIL-CODE
          EXEC CICS RETURN
          END-EXEC
    END-EVALUATE.
    IF WS-STORM-DRAIN = 'N'
       EXEC CICS ABEND ABCODE( MY-ABEND-CODE)</t>
        </is>
      </c>
      <c r="G76" s="5" t="inlineStr">
        <is>
          <t>Decisão e falha</t>
        </is>
      </c>
      <c r="H76" s="5" t="inlineStr">
        <is>
          <t>IF, falha</t>
        </is>
      </c>
      <c r="I76" s="5" t="inlineStr">
        <is>
          <t>comentário curto; trecho truncado (exibidas 50 de 68 linhas)</t>
        </is>
      </c>
      <c r="J76" s="19" t="n"/>
      <c r="K76" s="15" t="inlineStr">
        <is>
          <t>infraestrutura (excluída)</t>
        </is>
      </c>
      <c r="L76" s="15" t="inlineStr">
        <is>
          <t>Validado</t>
        </is>
      </c>
      <c r="M76" s="15" t="inlineStr">
        <is>
          <t>Coleta de informações complementares de ABEND (PERFORM POPULATE-TIME-DATE, LINK ao tratador de ABEND, ABEND); tratamento técnico sem semântica bancária. O trecho vai até o fim do programa e termina com IF WS-STORM-DRAIN = 'N' (linha 1897) seguido de ABEND com MY-ABEND-CODE: verificação de storm drain, infraestrutura pelo seu critério.</t>
        </is>
      </c>
      <c r="N76" s="5" t="n">
        <v>1</v>
      </c>
      <c r="O76" s="14" t="n"/>
      <c r="P76" s="14" t="n"/>
      <c r="Q76" s="2" t="n"/>
      <c r="R76" s="2" t="n"/>
      <c r="S76" s="2" t="n"/>
      <c r="T76" s="2" t="n"/>
      <c r="U76" s="2" t="n"/>
      <c r="V76" s="2" t="n"/>
      <c r="W76" s="2" t="n"/>
      <c r="X76" s="2" t="n"/>
      <c r="Y76" s="2" t="n"/>
      <c r="Z76" s="2" t="n"/>
    </row>
    <row r="77" hidden="1" s="16">
      <c r="A77" s="5" t="inlineStr">
        <is>
          <t>BNK1CRA-001</t>
        </is>
      </c>
      <c r="B77" s="5" t="inlineStr">
        <is>
          <t>BNK1CRA</t>
        </is>
      </c>
      <c r="C77" s="5" t="inlineStr">
        <is>
          <t>182-183</t>
        </is>
      </c>
      <c r="D77" s="5" t="inlineStr">
        <is>
          <t>185-189</t>
        </is>
      </c>
      <c r="E77" s="5" t="inlineStr">
        <is>
          <t>Is it the first time through? If so, send the map with erased (empty) data fields.</t>
        </is>
      </c>
      <c r="F77" s="10" t="inlineStr">
        <is>
          <t xml:space="preserve">       WHEN EIBCALEN = ZERO
          MOVE LOW-VALUE TO BNK1CDO
          MOVE -1 TO ACCNOL
          SET SEND-ERASE TO TRUE
          PERFORM SEND-MAP</t>
        </is>
      </c>
      <c r="G77" s="5" t="inlineStr">
        <is>
          <t>Decisão</t>
        </is>
      </c>
      <c r="H77" s="5" t="inlineStr">
        <is>
          <t>WHEN</t>
        </is>
      </c>
      <c r="I77" s="5" t="n"/>
      <c r="J77" s="19" t="n"/>
      <c r="K77" s="19" t="inlineStr">
        <is>
          <t>interface (excluída)</t>
        </is>
      </c>
      <c r="L77" s="14" t="inlineStr">
        <is>
          <t>Validado</t>
        </is>
      </c>
      <c r="M77" s="19" t="inlineStr">
        <is>
          <t>Decisão da reunião com o orientador (ponto 1): regra de interface (fluxo de teclas e telas), excluída do gabarito. Regra redigida antes da decisão: Se for a primeira execução da transação (EIBCALEN igual a zero), a tela é enviada com os campos vazios. Regra de interface (fluxo de teclas e telas), não de domínio bancário; decidir a categoria com o orientador junto com as demais teclas de função (BNK1CRA-001 a 007 e BNK1TFN-001 a 007).</t>
        </is>
      </c>
      <c r="N77" s="5" t="n">
        <v>1</v>
      </c>
      <c r="O77" s="14" t="n"/>
      <c r="P77" s="14" t="n"/>
      <c r="Q77" s="2" t="n"/>
      <c r="R77" s="2" t="n"/>
      <c r="S77" s="2" t="n"/>
      <c r="T77" s="2" t="n"/>
      <c r="U77" s="2" t="n"/>
      <c r="V77" s="2" t="n"/>
      <c r="W77" s="2" t="n"/>
      <c r="X77" s="2" t="n"/>
      <c r="Y77" s="2" t="n"/>
      <c r="Z77" s="2" t="n"/>
    </row>
    <row r="78" hidden="1" s="16">
      <c r="A78" s="5" t="inlineStr">
        <is>
          <t>BNK1CRA-002</t>
        </is>
      </c>
      <c r="B78" s="5" t="inlineStr">
        <is>
          <t>BNK1CRA</t>
        </is>
      </c>
      <c r="C78" s="5" t="inlineStr">
        <is>
          <t>192</t>
        </is>
      </c>
      <c r="D78" s="5" t="inlineStr">
        <is>
          <t>194-195</t>
        </is>
      </c>
      <c r="E78" s="5" t="inlineStr">
        <is>
          <t>If a PA key is pressed, just carry on</t>
        </is>
      </c>
      <c r="F78" s="10" t="inlineStr">
        <is>
          <t xml:space="preserve">       WHEN EIBAID = DFHPA1 OR DFHPA2 OR DFHPA3
          CONTINUE</t>
        </is>
      </c>
      <c r="G78" s="5" t="inlineStr">
        <is>
          <t>Decisão</t>
        </is>
      </c>
      <c r="H78" s="5" t="inlineStr">
        <is>
          <t>WHEN</t>
        </is>
      </c>
      <c r="I78" s="5" t="n"/>
      <c r="J78" s="19" t="n"/>
      <c r="K78" s="19" t="inlineStr">
        <is>
          <t>interface (excluída)</t>
        </is>
      </c>
      <c r="L78" s="14" t="inlineStr">
        <is>
          <t>Validado</t>
        </is>
      </c>
      <c r="M78" s="19" t="inlineStr">
        <is>
          <t>Decisão da reunião com o orientador (ponto 1): regra de interface (fluxo de teclas e telas), excluída do gabarito. Regra redigida antes da decisão: Se uma tecla PA for pressionada (PA1, PA2 ou PA3), nenhuma ação é executada. Regra de interface (fluxo de teclas e telas), não de domínio bancário; decidir a categoria com o orientador junto com as demais teclas de função (BNK1CRA-001 a 007 e BNK1TFN-001 a 007).</t>
        </is>
      </c>
      <c r="N78" s="5" t="n">
        <v>1</v>
      </c>
      <c r="O78" s="14" t="n"/>
      <c r="P78" s="14" t="n"/>
      <c r="Q78" s="2" t="n"/>
      <c r="R78" s="2" t="n"/>
      <c r="S78" s="2" t="n"/>
      <c r="T78" s="2" t="n"/>
      <c r="U78" s="2" t="n"/>
      <c r="V78" s="2" t="n"/>
      <c r="W78" s="2" t="n"/>
      <c r="X78" s="2" t="n"/>
      <c r="Y78" s="2" t="n"/>
      <c r="Z78" s="2" t="n"/>
    </row>
    <row r="79" hidden="1" s="16">
      <c r="A79" s="5" t="inlineStr">
        <is>
          <t>BNK1CRA-003</t>
        </is>
      </c>
      <c r="B79" s="5" t="inlineStr">
        <is>
          <t>BNK1CRA</t>
        </is>
      </c>
      <c r="C79" s="5" t="inlineStr">
        <is>
          <t>198</t>
        </is>
      </c>
      <c r="D79" s="5" t="inlineStr">
        <is>
          <t>200-206</t>
        </is>
      </c>
      <c r="E79" s="5" t="inlineStr">
        <is>
          <t>When Pf3 is pressed, return to the main menu</t>
        </is>
      </c>
      <c r="F79" s="10" t="inlineStr">
        <is>
          <t xml:space="preserve">       WHEN EIBAID = DFHPF3
          EXEC CICS RETURN
             TRANSID('OMEN')
             IMMEDIATE
             RESP(WS-CICS-RESP)
             RESP2(WS-CICS-RESP2)
          END-EXEC</t>
        </is>
      </c>
      <c r="G79" s="5" t="inlineStr">
        <is>
          <t>Decisão</t>
        </is>
      </c>
      <c r="H79" s="5" t="inlineStr">
        <is>
          <t>WHEN</t>
        </is>
      </c>
      <c r="I79" s="5" t="n"/>
      <c r="J79" s="19" t="n"/>
      <c r="K79" s="19" t="inlineStr">
        <is>
          <t>interface (excluída)</t>
        </is>
      </c>
      <c r="L79" s="14" t="inlineStr">
        <is>
          <t>Validado</t>
        </is>
      </c>
      <c r="M79" s="19" t="inlineStr">
        <is>
          <t>Decisão da reunião com o orientador (ponto 1): regra de interface (fluxo de teclas e telas), excluída do gabarito. Regra redigida antes da decisão: Se a tecla PF3 for pressionada, o usuário retorna ao menu principal (transação OMEN). Regra de interface (fluxo de teclas e telas), não de domínio bancário; decidir a categoria com o orientador junto com as demais teclas de função (BNK1CRA-001 a 007 e BNK1TFN-001 a 007).</t>
        </is>
      </c>
      <c r="N79" s="5" t="n">
        <v>1</v>
      </c>
      <c r="O79" s="14" t="n"/>
      <c r="P79" s="14" t="n"/>
      <c r="Q79" s="2" t="n"/>
      <c r="R79" s="2" t="n"/>
      <c r="S79" s="2" t="n"/>
      <c r="T79" s="2" t="n"/>
      <c r="U79" s="2" t="n"/>
      <c r="V79" s="2" t="n"/>
      <c r="W79" s="2" t="n"/>
      <c r="X79" s="2" t="n"/>
      <c r="Y79" s="2" t="n"/>
      <c r="Z79" s="2" t="n"/>
    </row>
    <row r="80" hidden="1" s="16">
      <c r="A80" s="5" t="inlineStr">
        <is>
          <t>BNK1CRA-004</t>
        </is>
      </c>
      <c r="B80" s="5" t="inlineStr">
        <is>
          <t>BNK1CRA</t>
        </is>
      </c>
      <c r="C80" s="5" t="inlineStr">
        <is>
          <t>209-210</t>
        </is>
      </c>
      <c r="D80" s="5" t="inlineStr">
        <is>
          <t>212-217</t>
        </is>
      </c>
      <c r="E80" s="5" t="inlineStr">
        <is>
          <t>If the aid or Pf12 is pressed, then send a termination message.</t>
        </is>
      </c>
      <c r="F80" s="10" t="inlineStr">
        <is>
          <t xml:space="preserve">       WHEN EIBAID = DFHAID OR DFHPF12
          PERFORM SEND-TERMINATION-MSG
          EXEC CICS
             RETURN
          END-EXEC</t>
        </is>
      </c>
      <c r="G80" s="5" t="inlineStr">
        <is>
          <t>Decisão</t>
        </is>
      </c>
      <c r="H80" s="5" t="inlineStr">
        <is>
          <t>WHEN</t>
        </is>
      </c>
      <c r="I80" s="5" t="n"/>
      <c r="J80" s="19" t="n"/>
      <c r="K80" s="19" t="inlineStr">
        <is>
          <t>interface (excluída)</t>
        </is>
      </c>
      <c r="L80" s="14" t="inlineStr">
        <is>
          <t>Validado</t>
        </is>
      </c>
      <c r="M80" s="19" t="inlineStr">
        <is>
          <t>Decisão da reunião com o orientador (ponto 1): regra de interface (fluxo de teclas e telas), excluída do gabarito. Regra redigida antes da decisão: Se a tecla PF12 for pressionada, é enviada a mensagem de encerramento e a transação termina.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209-217).</t>
        </is>
      </c>
      <c r="N80" s="5" t="n">
        <v>1</v>
      </c>
      <c r="O80" s="14" t="n"/>
      <c r="P80" s="14" t="n"/>
      <c r="Q80" s="2" t="n"/>
      <c r="R80" s="2" t="n"/>
      <c r="S80" s="2" t="n"/>
      <c r="T80" s="2" t="n"/>
      <c r="U80" s="2" t="n"/>
      <c r="V80" s="2" t="n"/>
      <c r="W80" s="2" t="n"/>
      <c r="X80" s="2" t="n"/>
      <c r="Y80" s="2" t="n"/>
      <c r="Z80" s="2" t="n"/>
    </row>
    <row r="81" hidden="1" s="16">
      <c r="A81" s="5" t="inlineStr">
        <is>
          <t>BNK1CRA-005</t>
        </is>
      </c>
      <c r="B81" s="5" t="inlineStr">
        <is>
          <t>BNK1CRA</t>
        </is>
      </c>
      <c r="C81" s="5" t="inlineStr">
        <is>
          <t>220</t>
        </is>
      </c>
      <c r="D81" s="5" t="inlineStr">
        <is>
          <t>222-229</t>
        </is>
      </c>
      <c r="E81" s="5" t="inlineStr">
        <is>
          <t>When CLEAR is pressed</t>
        </is>
      </c>
      <c r="F81" s="10" t="inlineStr">
        <is>
          <t xml:space="preserve">       WHEN EIBAID = DFHCLEAR
         EXEC CICS SEND CONTROL
                   ERASE
                   FREEKB
         END-EXEC
         EXEC CICS RETURN
         END-EXEC</t>
        </is>
      </c>
      <c r="G81" s="5" t="inlineStr">
        <is>
          <t>Decisão</t>
        </is>
      </c>
      <c r="H81" s="5" t="inlineStr">
        <is>
          <t>WHEN</t>
        </is>
      </c>
      <c r="I81" s="5" t="n"/>
      <c r="J81" s="19" t="n"/>
      <c r="K81" s="19" t="inlineStr">
        <is>
          <t>interface (excluída)</t>
        </is>
      </c>
      <c r="L81" s="14" t="inlineStr">
        <is>
          <t>Validado</t>
        </is>
      </c>
      <c r="M81" s="19" t="inlineStr">
        <is>
          <t>Decisão da reunião com o orientador (ponto 1): regra de interface (fluxo de teclas e telas), excluída do gabarito. Regra redigida antes da decisão: Se a tecla CLEAR for pressionada, a tela é limpa e a transação termina. Regra de interface (fluxo de teclas e telas), não de domínio bancário; decidir a categoria com o orientador junto com as demais teclas de função (BNK1CRA-001 a 007 e BNK1TFN-001 a 007).</t>
        </is>
      </c>
      <c r="N81" s="5" t="n">
        <v>1</v>
      </c>
      <c r="O81" s="14" t="n"/>
      <c r="P81" s="14" t="n"/>
      <c r="Q81" s="2" t="n"/>
      <c r="R81" s="2" t="n"/>
      <c r="S81" s="2" t="n"/>
      <c r="T81" s="2" t="n"/>
      <c r="U81" s="2" t="n"/>
      <c r="V81" s="2" t="n"/>
      <c r="W81" s="2" t="n"/>
      <c r="X81" s="2" t="n"/>
      <c r="Y81" s="2" t="n"/>
      <c r="Z81" s="2" t="n"/>
    </row>
    <row r="82" hidden="1" s="16">
      <c r="A82" s="5" t="inlineStr">
        <is>
          <t>BNK1CRA-006</t>
        </is>
      </c>
      <c r="B82" s="5" t="inlineStr">
        <is>
          <t>BNK1CRA</t>
        </is>
      </c>
      <c r="C82" s="5" t="inlineStr">
        <is>
          <t>232</t>
        </is>
      </c>
      <c r="D82" s="5" t="inlineStr">
        <is>
          <t>234-235</t>
        </is>
      </c>
      <c r="E82" s="5" t="inlineStr">
        <is>
          <t>When enter is pressed then process the content</t>
        </is>
      </c>
      <c r="F82" s="10" t="inlineStr">
        <is>
          <t xml:space="preserve">       WHEN EIBAID = DFHENTER
          PERFORM PROCESS-MAP</t>
        </is>
      </c>
      <c r="G82" s="5" t="inlineStr">
        <is>
          <t>Decisão</t>
        </is>
      </c>
      <c r="H82" s="5" t="inlineStr">
        <is>
          <t>WHEN</t>
        </is>
      </c>
      <c r="I82" s="5" t="n"/>
      <c r="J82" s="19" t="n"/>
      <c r="K82" s="19" t="inlineStr">
        <is>
          <t>interface (excluída)</t>
        </is>
      </c>
      <c r="L82" s="14" t="inlineStr">
        <is>
          <t>Validado</t>
        </is>
      </c>
      <c r="M82" s="19" t="inlineStr">
        <is>
          <t>Decisão da reunião com o orientador (ponto 1): regra de interface (fluxo de teclas e telas), excluída do gabarito. Regra redigida antes da decisão: Se a tecla ENTER for pressionada, os dados informados são processados (PROCESS-MAP). Regra de interface (fluxo de teclas e telas), não de domínio bancário; decidir a categoria com o orientador junto com as demais teclas de função (BNK1CRA-001 a 007 e BNK1TFN-001 a 007). É o gatilho do processamento de negócio; a regra em si está na BNK1CRA-013.</t>
        </is>
      </c>
      <c r="N82" s="5" t="n">
        <v>1</v>
      </c>
      <c r="O82" s="14" t="n"/>
      <c r="P82" s="14" t="n"/>
      <c r="Q82" s="2" t="n"/>
      <c r="R82" s="2" t="n"/>
      <c r="S82" s="2" t="n"/>
      <c r="T82" s="2" t="n"/>
      <c r="U82" s="2" t="n"/>
      <c r="V82" s="2" t="n"/>
      <c r="W82" s="2" t="n"/>
      <c r="X82" s="2" t="n"/>
      <c r="Y82" s="2" t="n"/>
      <c r="Z82" s="2" t="n"/>
    </row>
    <row r="83" hidden="1" s="16">
      <c r="A83" s="5" t="inlineStr">
        <is>
          <t>BNK1CRA-007</t>
        </is>
      </c>
      <c r="B83" s="5" t="inlineStr">
        <is>
          <t>BNK1CRA</t>
        </is>
      </c>
      <c r="C83" s="5" t="inlineStr">
        <is>
          <t>238</t>
        </is>
      </c>
      <c r="D83" s="5" t="inlineStr">
        <is>
          <t>240-247</t>
        </is>
      </c>
      <c r="E83" s="5" t="inlineStr">
        <is>
          <t>When anything else happens, send the invalid key message</t>
        </is>
      </c>
      <c r="F83" s="10" t="inlineStr">
        <is>
          <t xml:space="preserve">       WHEN OTHER
          MOVE LOW-VALUES TO BNK1CDO
          MOVE 'Invalid key pressed.' TO MESSAGEO
          MOVE 8 TO ACCNOL
          SET SEND-DATAONLY-ALARM TO TRUE
          PERFORM SEND-MAP
    END-EVALUATE.</t>
        </is>
      </c>
      <c r="G83" s="5" t="inlineStr">
        <is>
          <t>Decisão</t>
        </is>
      </c>
      <c r="H83" s="5" t="inlineStr">
        <is>
          <t>WHEN</t>
        </is>
      </c>
      <c r="I83" s="5" t="n"/>
      <c r="J83" s="19" t="n"/>
      <c r="K83" s="19" t="inlineStr">
        <is>
          <t>interface (excluída)</t>
        </is>
      </c>
      <c r="L83" s="14" t="inlineStr">
        <is>
          <t>Validado</t>
        </is>
      </c>
      <c r="M83" s="19" t="inlineStr">
        <is>
          <t>Decisão da reunião com o orientador (ponto 1): regra de interface (fluxo de teclas e telas), excluída do gabarito. Regra redigida antes da decisão: Se qualquer outra tecla for pressionada, é exibida a mensagem 'Invalid key pressed.' com alarme sonoro. Regra de interface (fluxo de teclas e telas), não de domínio bancário; decidir a categoria com o orientador junto com as demais teclas de função (BNK1CRA-001 a 007 e BNK1TFN-001 a 007). O trecho termina em END-EVALUATE.</t>
        </is>
      </c>
      <c r="N83" s="5" t="n">
        <v>1</v>
      </c>
      <c r="O83" s="14" t="n"/>
      <c r="P83" s="14" t="n"/>
      <c r="Q83" s="2" t="n"/>
      <c r="R83" s="2" t="n"/>
      <c r="S83" s="2" t="n"/>
      <c r="T83" s="2" t="n"/>
      <c r="U83" s="2" t="n"/>
      <c r="V83" s="2" t="n"/>
      <c r="W83" s="2" t="n"/>
      <c r="X83" s="2" t="n"/>
      <c r="Y83" s="2" t="n"/>
      <c r="Z83" s="2" t="n"/>
    </row>
    <row r="84" hidden="1" s="16">
      <c r="A84" s="5" t="inlineStr">
        <is>
          <t>BNK1CRA-008</t>
        </is>
      </c>
      <c r="B84" s="5" t="inlineStr">
        <is>
          <t>BNK1CRA</t>
        </is>
      </c>
      <c r="C84" s="5" t="inlineStr">
        <is>
          <t>250-253</t>
        </is>
      </c>
      <c r="D84" s="5" t="inlineStr">
        <is>
          <t>255-271</t>
        </is>
      </c>
      <c r="E84" s="5" t="inlineStr">
        <is>
          <t>Provided that we have been around this way before (i.e. it is NOT the first time through, put the data returned from the sub program into the area that we use as the COMMAREA on the RETURN.</t>
        </is>
      </c>
      <c r="F84" s="10" t="inlineStr">
        <is>
          <t xml:space="preserve">    IF EIBCALEN NOT = ZERO
       MOVE COMM-ACCNO  TO WS-COMM-ACCNO
       MOVE COMM-SIGN   TO  WS-COMM-SIGN
       MOVE COMM-AMT    TO WS-COMM-AMT
    END-IF.
    EXEC CICS
       RETURN TRANSID('OCRA')
       COMMAREA(WS-COMM-AREA)
       LENGTH(21)
       RESP(WS-CICS-RESP)
       RESP2(WS-CICS-RESP2)
    END-EXEC.
    IF WS-CICS-RESP NOT = DFHRESP(NORMAL)</t>
        </is>
      </c>
      <c r="G84" s="5" t="inlineStr">
        <is>
          <t>Decisão e falha</t>
        </is>
      </c>
      <c r="H84" s="5" t="inlineStr">
        <is>
          <t>IF, falha</t>
        </is>
      </c>
      <c r="I84" s="5" t="n"/>
      <c r="J84" s="19" t="n"/>
      <c r="K84" s="15" t="inlineStr">
        <is>
          <t>infraestrutura (excluída)</t>
        </is>
      </c>
      <c r="L84" s="15" t="inlineStr">
        <is>
          <t>Validado</t>
        </is>
      </c>
      <c r="M84" s="15" t="inlineStr">
        <is>
          <t>Retorno pseudo-conversacional (RETURN TRANSID com COMMAREA) e verificação do RESP; controle de transação. A cópia dos dados para a COMMAREA só ocorre quando EIBCALEN é diferente de zero.</t>
        </is>
      </c>
      <c r="N84" s="5" t="n">
        <v>2</v>
      </c>
      <c r="O84" s="14" t="n"/>
      <c r="P84" s="14" t="n"/>
      <c r="Q84" s="2" t="n"/>
      <c r="R84" s="2" t="n"/>
      <c r="S84" s="2" t="n"/>
      <c r="T84" s="2" t="n"/>
      <c r="U84" s="2" t="n"/>
      <c r="V84" s="2" t="n"/>
      <c r="W84" s="2" t="n"/>
      <c r="X84" s="2" t="n"/>
      <c r="Y84" s="2" t="n"/>
      <c r="Z84" s="2" t="n"/>
    </row>
    <row r="85" hidden="1" s="16">
      <c r="A85" s="5" t="inlineStr">
        <is>
          <t>BNK1CRA-009</t>
        </is>
      </c>
      <c r="B85" s="5" t="inlineStr">
        <is>
          <t>BNK1CRA</t>
        </is>
      </c>
      <c r="C85" s="5" t="inlineStr">
        <is>
          <t>273-276</t>
        </is>
      </c>
      <c r="D85" s="5" t="inlineStr">
        <is>
          <t>278-280</t>
        </is>
      </c>
      <c r="E85" s="5" t="inlineStr">
        <is>
          <t>Preserve the RESP and RESP2, then set up the standard ABEND info before getting the applid, date/time etc. and linking to the Abend Handler program.</t>
        </is>
      </c>
      <c r="F85" s="10" t="inlineStr">
        <is>
          <t xml:space="preserve">       INITIALIZE ABNDINFO-REC
       MOVE EIBRESP    TO ABND-RESPCODE
       MOVE EIBRESP2   TO ABND-RESP2CODE</t>
        </is>
      </c>
      <c r="G85" s="5" t="inlineStr">
        <is>
          <t>Falha</t>
        </is>
      </c>
      <c r="H85" s="5" t="inlineStr">
        <is>
          <t>falha</t>
        </is>
      </c>
      <c r="I85" s="5" t="n"/>
      <c r="J85" s="19" t="n"/>
      <c r="K85" s="15" t="inlineStr">
        <is>
          <t>infraestrutura (excluída)</t>
        </is>
      </c>
      <c r="L85" s="15" t="inlineStr">
        <is>
          <t>Validado</t>
        </is>
      </c>
      <c r="M85" s="15" t="inlineStr">
        <is>
          <t>Montagem padrão das informações de ABEND (INITIALIZE ABNDINFO-REC; MOVE EIBRESP/EIBRESP2); tratamento técnico sem semântica bancária.</t>
        </is>
      </c>
      <c r="N85" s="5" t="n">
        <v>0</v>
      </c>
      <c r="O85" s="14" t="n"/>
      <c r="P85" s="14" t="n"/>
      <c r="Q85" s="2" t="n"/>
      <c r="R85" s="2" t="n"/>
      <c r="S85" s="2" t="n"/>
      <c r="T85" s="2" t="n"/>
      <c r="U85" s="2" t="n"/>
      <c r="V85" s="2" t="n"/>
      <c r="W85" s="2" t="n"/>
      <c r="X85" s="2" t="n"/>
      <c r="Y85" s="2" t="n"/>
      <c r="Z85" s="2" t="n"/>
    </row>
    <row r="86" hidden="1" s="16">
      <c r="A86" s="5" t="inlineStr">
        <is>
          <t>BNK1CRA-013</t>
        </is>
      </c>
      <c r="B86" s="5" t="inlineStr">
        <is>
          <t>BNK1CRA</t>
        </is>
      </c>
      <c r="C86" s="5" t="inlineStr">
        <is>
          <t>347-348</t>
        </is>
      </c>
      <c r="D86" s="5" t="inlineStr">
        <is>
          <t>350-354</t>
        </is>
      </c>
      <c r="E86" s="5" t="inlineStr">
        <is>
          <t>If the data passes validation go on to apply the debit or credit.</t>
        </is>
      </c>
      <c r="F86" s="10" t="inlineStr">
        <is>
          <t xml:space="preserve">    IF VALID-DATA
       PERFORM UPD-CRED-DATA
    END-IF.
    SET SEND-DATAONLY-ALARM TO TRUE.</t>
        </is>
      </c>
      <c r="G86" s="5" t="inlineStr">
        <is>
          <t>Decisão</t>
        </is>
      </c>
      <c r="H86" s="5" t="inlineStr">
        <is>
          <t>IF</t>
        </is>
      </c>
      <c r="I86" s="5" t="n"/>
      <c r="J86" s="15" t="inlineStr">
        <is>
          <t>Se os dados informados passarem na validação (VALID-DATA), o débito ou crédito é aplicado à conta (UPD-CRED-DATA).</t>
        </is>
      </c>
      <c r="K86" s="15" t="inlineStr">
        <is>
          <t>regra de negócio</t>
        </is>
      </c>
      <c r="L86" s="15" t="inlineStr">
        <is>
          <t>Validado</t>
        </is>
      </c>
      <c r="M86" s="15" t="inlineStr">
        <is>
          <t>O SET SEND-DATAONLY-ALARM executado em seguida é procedural e fica fora da regra.</t>
        </is>
      </c>
      <c r="N86" s="5" t="n">
        <v>1</v>
      </c>
      <c r="O86" s="14" t="n"/>
      <c r="P86" s="14" t="inlineStr">
        <is>
          <t>Não</t>
        </is>
      </c>
      <c r="Q86" s="2" t="n"/>
      <c r="R86" s="2" t="n"/>
      <c r="S86" s="2" t="n"/>
      <c r="T86" s="2" t="n"/>
      <c r="U86" s="2" t="n"/>
      <c r="V86" s="2" t="n"/>
      <c r="W86" s="2" t="n"/>
      <c r="X86" s="2" t="n"/>
      <c r="Y86" s="2" t="n"/>
      <c r="Z86" s="2" t="n"/>
    </row>
    <row r="87" hidden="1" s="16">
      <c r="A87" s="5" t="inlineStr">
        <is>
          <t>BNK1CRA-015</t>
        </is>
      </c>
      <c r="B87" s="5" t="inlineStr">
        <is>
          <t>BNK1CRA</t>
        </is>
      </c>
      <c r="C87" s="5" t="inlineStr">
        <is>
          <t>368</t>
        </is>
      </c>
      <c r="D87" s="5" t="inlineStr">
        <is>
          <t>370-378</t>
        </is>
      </c>
      <c r="E87" s="5" t="inlineStr">
        <is>
          <t>Retrieve the data</t>
        </is>
      </c>
      <c r="F87" s="10" t="inlineStr">
        <is>
          <t xml:space="preserve">    EXEC CICS
       RECEIVE MAP('BNK1CD')
       MAPSET('BNK1CDM')
       INTO(BNK1CDI)
       RESP(WS-CICS-RESP)
       RESP2(WS-CICS-RESP2)
    END-EXEC.
    IF WS-CICS-RESP NOT = DFHRESP(NORMAL)</t>
        </is>
      </c>
      <c r="G87" s="5" t="inlineStr">
        <is>
          <t>Decisão e falha</t>
        </is>
      </c>
      <c r="H87" s="5" t="inlineStr">
        <is>
          <t>IF, falha</t>
        </is>
      </c>
      <c r="I87" s="5" t="inlineStr">
        <is>
          <t>comentário curto</t>
        </is>
      </c>
      <c r="J87" s="19" t="n"/>
      <c r="K87" s="15" t="inlineStr">
        <is>
          <t>infraestrutura (excluída)</t>
        </is>
      </c>
      <c r="L87" s="15" t="inlineStr">
        <is>
          <t>Validado</t>
        </is>
      </c>
      <c r="M87" s="15" t="inlineStr">
        <is>
          <t>Recebimento dos dados da tela (RECEIVE MAP) e verificação do RESP; infraestrutura de interface.</t>
        </is>
      </c>
      <c r="N87" s="5" t="n">
        <v>1</v>
      </c>
      <c r="O87" s="14" t="n"/>
      <c r="P87" s="14" t="n"/>
      <c r="Q87" s="2" t="n"/>
      <c r="R87" s="2" t="n"/>
      <c r="S87" s="2" t="n"/>
      <c r="T87" s="2" t="n"/>
      <c r="U87" s="2" t="n"/>
      <c r="V87" s="2" t="n"/>
      <c r="W87" s="2" t="n"/>
      <c r="X87" s="2" t="n"/>
      <c r="Y87" s="2" t="n"/>
      <c r="Z87" s="2" t="n"/>
    </row>
    <row r="88" hidden="1" s="16">
      <c r="A88" s="5" t="inlineStr">
        <is>
          <t>BNK1CRA-016</t>
        </is>
      </c>
      <c r="B88" s="5" t="inlineStr">
        <is>
          <t>BNK1CRA</t>
        </is>
      </c>
      <c r="C88" s="5" t="inlineStr">
        <is>
          <t>380-383</t>
        </is>
      </c>
      <c r="D88" s="5" t="inlineStr">
        <is>
          <t>385-387</t>
        </is>
      </c>
      <c r="E88" s="5" t="inlineStr">
        <is>
          <t>Preserve the RESP and RESP2, then set up the standard ABEND info before getting the applid, date/time etc. and linking to the Abend Handler program.</t>
        </is>
      </c>
      <c r="F88" s="10" t="inlineStr">
        <is>
          <t xml:space="preserve">       INITIALIZE ABNDINFO-REC
       MOVE EIBRESP    TO ABND-RESPCODE
       MOVE EIBRESP2   TO ABND-RESP2CODE</t>
        </is>
      </c>
      <c r="G88" s="5" t="inlineStr">
        <is>
          <t>Falha</t>
        </is>
      </c>
      <c r="H88" s="5" t="inlineStr">
        <is>
          <t>falha</t>
        </is>
      </c>
      <c r="I88" s="5" t="n"/>
      <c r="J88" s="19" t="n"/>
      <c r="K88" s="15" t="inlineStr">
        <is>
          <t>infraestrutura (excluída)</t>
        </is>
      </c>
      <c r="L88" s="15" t="inlineStr">
        <is>
          <t>Validado</t>
        </is>
      </c>
      <c r="M88" s="15" t="inlineStr">
        <is>
          <t>Montagem padrão das informações de ABEND (INITIALIZE ABNDINFO-REC; MOVE EIBRESP/EIBRESP2); tratamento técnico sem semântica bancária.</t>
        </is>
      </c>
      <c r="N88" s="5" t="n">
        <v>0</v>
      </c>
      <c r="O88" s="14" t="n"/>
      <c r="P88" s="14" t="n"/>
      <c r="Q88" s="2" t="n"/>
      <c r="R88" s="2" t="n"/>
      <c r="S88" s="2" t="n"/>
      <c r="T88" s="2" t="n"/>
      <c r="U88" s="2" t="n"/>
      <c r="V88" s="2" t="n"/>
      <c r="W88" s="2" t="n"/>
      <c r="X88" s="2" t="n"/>
      <c r="Y88" s="2" t="n"/>
      <c r="Z88" s="2" t="n"/>
    </row>
    <row r="89" hidden="1" s="16">
      <c r="A89" s="5" t="inlineStr">
        <is>
          <t>BNK1CRA-018</t>
        </is>
      </c>
      <c r="B89" s="5" t="inlineStr">
        <is>
          <t>BNK1CRA</t>
        </is>
      </c>
      <c r="C89" s="5" t="inlineStr">
        <is>
          <t>444</t>
        </is>
      </c>
      <c r="D89" s="5" t="inlineStr">
        <is>
          <t>446-469</t>
        </is>
      </c>
      <c r="E89" s="5" t="inlineStr">
        <is>
          <t>Perform validation on the incoming fields</t>
        </is>
      </c>
      <c r="F89" s="10" t="inlineStr">
        <is>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is>
      </c>
      <c r="G89" s="5" t="inlineStr">
        <is>
          <t>Decisão</t>
        </is>
      </c>
      <c r="H89" s="5" t="inlineStr">
        <is>
          <t>IF</t>
        </is>
      </c>
      <c r="I89" s="5" t="inlineStr">
        <is>
          <t>contém GO TO (desvio incondicional)</t>
        </is>
      </c>
      <c r="J89" s="15" t="inlineStr">
        <is>
          <t>1. Se o número da conta informado não for numérico, a entrada é considerada inválida e é exibida a mensagem 'Please enter an account number.'
2. Se o número da conta informado for zero, a entrada é considerada inválida e é exibida a mensagem 'Please enter a non zero account number.'
3. Se um sinal for informado e não for '+' nem '-', a entrada é considerada inválida e é exibida a mensagem 'Please enter + or - preceding the amount.'</t>
        </is>
      </c>
      <c r="K89" s="15" t="inlineStr">
        <is>
          <t>regra de negócio</t>
        </is>
      </c>
      <c r="L89" s="15" t="inlineStr">
        <is>
          <t>Validado</t>
        </is>
      </c>
      <c r="M89" s="15" t="inlineStr">
        <is>
          <t>Linha vale por três regras. A condição do sinal é SIGNI diferente de '+' e de '-' com SIGNL = 1 (campo de sinal preenchido).</t>
        </is>
      </c>
      <c r="N89" s="5" t="n">
        <v>3</v>
      </c>
      <c r="O89" s="14" t="n"/>
      <c r="P89" s="14" t="inlineStr">
        <is>
          <t>Não</t>
        </is>
      </c>
      <c r="Q89" s="2" t="n"/>
      <c r="R89" s="2" t="n"/>
      <c r="S89" s="2" t="n"/>
      <c r="T89" s="2" t="n"/>
      <c r="U89" s="2" t="n"/>
      <c r="V89" s="2" t="n"/>
      <c r="W89" s="2" t="n"/>
      <c r="X89" s="2" t="n"/>
      <c r="Y89" s="2" t="n"/>
      <c r="Z89" s="2" t="n"/>
    </row>
    <row r="90" hidden="1" s="16">
      <c r="A90" s="5" t="inlineStr">
        <is>
          <t>BNK1CRA-021</t>
        </is>
      </c>
      <c r="B90" s="5" t="inlineStr">
        <is>
          <t>BNK1CRA</t>
        </is>
      </c>
      <c r="C90" s="5" t="inlineStr">
        <is>
          <t>492</t>
        </is>
      </c>
      <c r="D90" s="5" t="inlineStr">
        <is>
          <t>494-498</t>
        </is>
      </c>
      <c r="E90" s="5" t="inlineStr">
        <is>
          <t>Provide the correct Amount</t>
        </is>
      </c>
      <c r="F90" s="10" t="inlineStr">
        <is>
          <t xml:space="preserve">    IF SIGNI = '-'
       COMPUTE WS-AMOUNT-AS-FLOAT = WS-AMOUNT-AS-FLOAT * -1
    END-IF.
    MOVE WS-AMOUNT-AS-FLOAT TO SUBPGM-AMT.</t>
        </is>
      </c>
      <c r="G90" s="5" t="inlineStr">
        <is>
          <t>Decisão</t>
        </is>
      </c>
      <c r="H90" s="5" t="inlineStr">
        <is>
          <t>IF</t>
        </is>
      </c>
      <c r="I90" s="5" t="n"/>
      <c r="J90" s="15" t="inlineStr">
        <is>
          <t>Se o sinal informado for '-', o valor da operação é convertido para negativo (débito).</t>
        </is>
      </c>
      <c r="K90" s="15" t="inlineStr">
        <is>
          <t>regra de negócio</t>
        </is>
      </c>
      <c r="L90" s="15" t="inlineStr">
        <is>
          <t>Validado</t>
        </is>
      </c>
      <c r="M90" s="15" t="inlineStr">
        <is>
          <t>Sem ELSE: sinal '+' mantém o valor positivo (crédito). O valor convertido segue para o DBCRFUN (SUBPGM-AMT). O BNK1CRA-018 só rejeita o sinal quando ele foi informado (SIGNL = 1), e o 021 só torna o valor negativo quando o sinal é '-'. Então sinal em branco também resulta em crédito.</t>
        </is>
      </c>
      <c r="N90" s="5" t="n">
        <v>1</v>
      </c>
      <c r="O90" s="14" t="n"/>
      <c r="P90" s="14" t="inlineStr">
        <is>
          <t>Não</t>
        </is>
      </c>
      <c r="Q90" s="2" t="n"/>
      <c r="R90" s="2" t="n"/>
      <c r="S90" s="2" t="n"/>
      <c r="T90" s="2" t="n"/>
      <c r="U90" s="2" t="n"/>
      <c r="V90" s="2" t="n"/>
      <c r="W90" s="2" t="n"/>
      <c r="X90" s="2" t="n"/>
      <c r="Y90" s="2" t="n"/>
      <c r="Z90" s="2" t="n"/>
    </row>
    <row r="91" hidden="1" s="16">
      <c r="A91" s="5" t="inlineStr">
        <is>
          <t>BNK1CRA-022</t>
        </is>
      </c>
      <c r="B91" s="5" t="inlineStr">
        <is>
          <t>BNK1CRA</t>
        </is>
      </c>
      <c r="C91" s="5" t="inlineStr">
        <is>
          <t>501</t>
        </is>
      </c>
      <c r="D91" s="5" t="inlineStr">
        <is>
          <t>503-519</t>
        </is>
      </c>
      <c r="E91" s="5" t="inlineStr">
        <is>
          <t>Get the ORIGIN data</t>
        </is>
      </c>
      <c r="F91" s="10" t="inlineStr">
        <is>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is>
      </c>
      <c r="G91" s="5" t="inlineStr">
        <is>
          <t>Decisão e falha</t>
        </is>
      </c>
      <c r="H91" s="5" t="inlineStr">
        <is>
          <t>IF, falha</t>
        </is>
      </c>
      <c r="I91" s="5" t="n"/>
      <c r="J91" s="19" t="n"/>
      <c r="K91" s="15" t="inlineStr">
        <is>
          <t>infraestrutura (excluída)</t>
        </is>
      </c>
      <c r="L91" s="15" t="inlineStr">
        <is>
          <t>Validado</t>
        </is>
      </c>
      <c r="M91" s="15" t="inlineStr">
        <is>
          <t>Obtenção dos dados de origem (INQUIRE ASSOCIATION) e LINK ao DBCRFUN com verificação do RESP. O COMM-FACILTYPE obtido aqui alimenta a regra de pagamento (496) do DBCRFUN-008.</t>
        </is>
      </c>
      <c r="N91" s="5" t="n">
        <v>1</v>
      </c>
      <c r="O91" s="14" t="n"/>
      <c r="P91" s="14" t="n"/>
      <c r="Q91" s="2" t="n"/>
      <c r="R91" s="2" t="n"/>
      <c r="S91" s="2" t="n"/>
      <c r="T91" s="2" t="n"/>
      <c r="U91" s="2" t="n"/>
      <c r="V91" s="2" t="n"/>
      <c r="W91" s="2" t="n"/>
      <c r="X91" s="2" t="n"/>
      <c r="Y91" s="2" t="n"/>
      <c r="Z91" s="2" t="n"/>
    </row>
    <row r="92" hidden="1" s="16">
      <c r="A92" s="5" t="inlineStr">
        <is>
          <t>BNK1CRA-023</t>
        </is>
      </c>
      <c r="B92" s="5" t="inlineStr">
        <is>
          <t>BNK1CRA</t>
        </is>
      </c>
      <c r="C92" s="5" t="inlineStr">
        <is>
          <t>521-524</t>
        </is>
      </c>
      <c r="D92" s="5" t="inlineStr">
        <is>
          <t>526-528</t>
        </is>
      </c>
      <c r="E92" s="5" t="inlineStr">
        <is>
          <t>Preserve the RESP and RESP2, then set up the standard ABEND info before getting the applid, date/time etc. and linking to the Abend Handler program.</t>
        </is>
      </c>
      <c r="F92" s="10" t="inlineStr">
        <is>
          <t xml:space="preserve">       INITIALIZE ABNDINFO-REC
       MOVE EIBRESP    TO ABND-RESPCODE
       MOVE EIBRESP2   TO ABND-RESP2CODE</t>
        </is>
      </c>
      <c r="G92" s="5" t="inlineStr">
        <is>
          <t>Falha</t>
        </is>
      </c>
      <c r="H92" s="5" t="inlineStr">
        <is>
          <t>falha</t>
        </is>
      </c>
      <c r="I92" s="5" t="n"/>
      <c r="J92" s="19" t="n"/>
      <c r="K92" s="15" t="inlineStr">
        <is>
          <t>infraestrutura (excluída)</t>
        </is>
      </c>
      <c r="L92" s="15" t="inlineStr">
        <is>
          <t>Validado</t>
        </is>
      </c>
      <c r="M92" s="15" t="inlineStr">
        <is>
          <t>Montagem padrão das informações de ABEND (INITIALIZE ABNDINFO-REC; MOVE EIBRESP/EIBRESP2); tratamento técnico sem semântica bancária.</t>
        </is>
      </c>
      <c r="N92" s="5" t="n">
        <v>0</v>
      </c>
      <c r="O92" s="14" t="n"/>
      <c r="P92" s="14" t="n"/>
      <c r="Q92" s="2" t="n"/>
      <c r="R92" s="2" t="n"/>
      <c r="S92" s="2" t="n"/>
      <c r="T92" s="2" t="n"/>
      <c r="U92" s="2" t="n"/>
      <c r="V92" s="2" t="n"/>
      <c r="W92" s="2" t="n"/>
      <c r="X92" s="2" t="n"/>
      <c r="Y92" s="2" t="n"/>
      <c r="Z92" s="2" t="n"/>
    </row>
    <row r="93" hidden="1" s="16">
      <c r="A93" s="5" t="inlineStr">
        <is>
          <t>BNK1CRA-025</t>
        </is>
      </c>
      <c r="B93" s="5" t="inlineStr">
        <is>
          <t>BNK1CRA</t>
        </is>
      </c>
      <c r="C93" s="5" t="inlineStr">
        <is>
          <t>579</t>
        </is>
      </c>
      <c r="D93" s="5" t="inlineStr">
        <is>
          <t>581-626</t>
        </is>
      </c>
      <c r="E93" s="5" t="inlineStr">
        <is>
          <t>Check to see if the debit or credit was successful</t>
        </is>
      </c>
      <c r="F93" s="10" t="inlineStr">
        <is>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
                    SUBPGM-FAIL-CODE
                    DELIMITED BY SIZE
                    INTO MESSAGEO
             GO TO UCD999
       END-EVALUATE
    ELSE
       MOVE SPACES TO MESSAGEO
       MOVE 'Amount successfully applied to the account.' TO
          MESSAGEO
    END-IF.</t>
        </is>
      </c>
      <c r="G93" s="5" t="inlineStr">
        <is>
          <t>Decisão</t>
        </is>
      </c>
      <c r="H93" s="5" t="inlineStr">
        <is>
          <t>IF, EVALUATE, WHEN</t>
        </is>
      </c>
      <c r="I93" s="5" t="inlineStr">
        <is>
          <t>contém GO TO (desvio incondicional)</t>
        </is>
      </c>
      <c r="J93" s="15" t="inlineStr">
        <is>
          <t>1. Se o débito ou crédito não for bem-sucedido e o código de falha for '1', é exibida a mensagem de conta não encontrada e valor não aplicado.
2. Se o débito ou crédito não for bem-sucedido e o código de falha for '3', é exibida a mensagem de saldo insuficiente.
3. Se o débito ou crédito for bem-sucedido, é exibida a mensagem 'Amount successfully applied to the account.'</t>
        </is>
      </c>
      <c r="K93" s="15" t="inlineStr">
        <is>
          <t>regra de negócio</t>
        </is>
      </c>
      <c r="L93" s="15" t="inlineStr">
        <is>
          <t>Validado</t>
        </is>
      </c>
      <c r="M93" s="15" t="inlineStr">
        <is>
          <t>Não há WHEN '4': a negação de pagamento em conta MORTGAGE/LOAN (DBCRFUN, código '4') cairia em WHEN OTHER e apareceria ao usuário como erro inesperado com o código; possivelmente não ocorre a partir desta tela, pois o código '4' só é gerado em pagamento (COMM-FACILTYPE = 496). A regra 3 vem do ELSE. Linha vale por três regras: as do código '2' (falha técnica de DB2) e do WHEN OTHER (mensagem genérica) foram retiradas por serem tratamento de erro padrão, pelo mesmo critério da DBCRFUN-005 e da XFRFUN-034.</t>
        </is>
      </c>
      <c r="N93" s="5" t="n">
        <v>6</v>
      </c>
      <c r="O93" s="14" t="n"/>
      <c r="P93" s="14" t="inlineStr">
        <is>
          <t>Não</t>
        </is>
      </c>
      <c r="Q93" s="2" t="n"/>
      <c r="R93" s="2" t="n"/>
      <c r="S93" s="2" t="n"/>
      <c r="T93" s="2" t="n"/>
      <c r="U93" s="2" t="n"/>
      <c r="V93" s="2" t="n"/>
      <c r="W93" s="2" t="n"/>
      <c r="X93" s="2" t="n"/>
      <c r="Y93" s="2" t="n"/>
      <c r="Z93" s="2" t="n"/>
    </row>
    <row r="94" hidden="1" s="16">
      <c r="A94" s="5" t="inlineStr">
        <is>
          <t>BNK1CRA-027</t>
        </is>
      </c>
      <c r="B94" s="5" t="inlineStr">
        <is>
          <t>BNK1CRA</t>
        </is>
      </c>
      <c r="C94" s="5" t="inlineStr">
        <is>
          <t>646</t>
        </is>
      </c>
      <c r="D94" s="5" t="inlineStr">
        <is>
          <t>648-657</t>
        </is>
      </c>
      <c r="E94" s="5" t="inlineStr">
        <is>
          <t>If the map needs to have its data erased</t>
        </is>
      </c>
      <c r="F94" s="10" t="inlineStr">
        <is>
          <t xml:space="preserve">    IF SEND-ERASE
       EXEC CICS SEND MAP('BNK1CD')
          MAPSET('BNK1CDM')
          FROM(BNK1CDO)
          ERASE
          RESP(WS-CICS-RESP)
          RESP2(WS-CICS-RESP2)
       END-EXEC
       IF WS-CICS-RESP NOT = DFHRESP(NORMAL)</t>
        </is>
      </c>
      <c r="G94" s="5" t="inlineStr">
        <is>
          <t>Decisão e falha</t>
        </is>
      </c>
      <c r="H94" s="5" t="inlineStr">
        <is>
          <t>IF, falha</t>
        </is>
      </c>
      <c r="I94" s="5" t="n"/>
      <c r="J94" s="19" t="n"/>
      <c r="K94" s="15" t="inlineStr">
        <is>
          <t>infraestrutura (excluída)</t>
        </is>
      </c>
      <c r="L94" s="15" t="inlineStr">
        <is>
          <t>Validado</t>
        </is>
      </c>
      <c r="M94" s="15" t="inlineStr">
        <is>
          <t>Envio da tela com apagamento (SEND MAP ... ERASE) e verificação do RESP; infraestrutura de interface.</t>
        </is>
      </c>
      <c r="N94" s="5" t="n">
        <v>2</v>
      </c>
      <c r="O94" s="14" t="n"/>
      <c r="P94" s="14" t="n"/>
      <c r="Q94" s="2" t="n"/>
      <c r="R94" s="2" t="n"/>
      <c r="S94" s="2" t="n"/>
      <c r="T94" s="2" t="n"/>
      <c r="U94" s="2" t="n"/>
      <c r="V94" s="2" t="n"/>
      <c r="W94" s="2" t="n"/>
      <c r="X94" s="2" t="n"/>
      <c r="Y94" s="2" t="n"/>
      <c r="Z94" s="2" t="n"/>
    </row>
    <row r="95" hidden="1" s="16">
      <c r="A95" s="5" t="inlineStr">
        <is>
          <t>BNK1CRA-028</t>
        </is>
      </c>
      <c r="B95" s="5" t="inlineStr">
        <is>
          <t>BNK1CRA</t>
        </is>
      </c>
      <c r="C95" s="5" t="inlineStr">
        <is>
          <t>659-662</t>
        </is>
      </c>
      <c r="D95" s="5" t="inlineStr">
        <is>
          <t>664-666</t>
        </is>
      </c>
      <c r="E95" s="5" t="inlineStr">
        <is>
          <t>Preserve the RESP and RESP2, then set up the standard ABEND info before getting the applid, date/time etc. and linking to the Abend Handler program.</t>
        </is>
      </c>
      <c r="F95" s="10" t="inlineStr">
        <is>
          <t xml:space="preserve">          INITIALIZE ABNDINFO-REC
          MOVE EIBRESP    TO ABND-RESPCODE
          MOVE EIBRESP2   TO ABND-RESP2CODE</t>
        </is>
      </c>
      <c r="G95" s="5" t="inlineStr">
        <is>
          <t>Falha</t>
        </is>
      </c>
      <c r="H95" s="5" t="inlineStr">
        <is>
          <t>falha</t>
        </is>
      </c>
      <c r="I95" s="5" t="n"/>
      <c r="J95" s="19" t="n"/>
      <c r="K95" s="15" t="inlineStr">
        <is>
          <t>infraestrutura (excluída)</t>
        </is>
      </c>
      <c r="L95" s="15" t="inlineStr">
        <is>
          <t>Validado</t>
        </is>
      </c>
      <c r="M95" s="15" t="inlineStr">
        <is>
          <t>Montagem padrão das informações de ABEND (INITIALIZE ABNDINFO-REC; MOVE EIBRESP/EIBRESP2); tratamento técnico sem semântica bancária.</t>
        </is>
      </c>
      <c r="N95" s="5" t="n">
        <v>0</v>
      </c>
      <c r="O95" s="14" t="n"/>
      <c r="P95" s="14" t="n"/>
      <c r="Q95" s="2" t="n"/>
      <c r="R95" s="2" t="n"/>
      <c r="S95" s="2" t="n"/>
      <c r="T95" s="2" t="n"/>
      <c r="U95" s="2" t="n"/>
      <c r="V95" s="2" t="n"/>
      <c r="W95" s="2" t="n"/>
      <c r="X95" s="2" t="n"/>
      <c r="Y95" s="2" t="n"/>
      <c r="Z95" s="2" t="n"/>
    </row>
    <row r="96" hidden="1" s="16">
      <c r="A96" s="5" t="inlineStr">
        <is>
          <t>BNK1CRA-030</t>
        </is>
      </c>
      <c r="B96" s="5" t="inlineStr">
        <is>
          <t>BNK1CRA</t>
        </is>
      </c>
      <c r="C96" s="5" t="inlineStr">
        <is>
          <t>720</t>
        </is>
      </c>
      <c r="D96" s="5" t="inlineStr">
        <is>
          <t>722-731</t>
        </is>
      </c>
      <c r="E96" s="5" t="inlineStr">
        <is>
          <t>If the map just needs a resend of only the data</t>
        </is>
      </c>
      <c r="F96" s="10" t="inlineStr">
        <is>
          <t xml:space="preserve">    IF SEND-DATAONLY
       EXEC CICS SEND MAP('BNK1CD')
          MAPSET('BNK1CDM')
          FROM(BNK1CDO)
          DATAONLY
          RESP(WS-CICS-RESP)
          RESP2(WS-CICS-RESP2)
       END-EXEC
       IF WS-CICS-RESP NOT = DFHRESP(NORMAL)</t>
        </is>
      </c>
      <c r="G96" s="5" t="inlineStr">
        <is>
          <t>Decisão e falha</t>
        </is>
      </c>
      <c r="H96" s="5" t="inlineStr">
        <is>
          <t>IF, falha</t>
        </is>
      </c>
      <c r="I96" s="5" t="n"/>
      <c r="J96" s="19" t="n"/>
      <c r="K96" s="15" t="inlineStr">
        <is>
          <t>infraestrutura (excluída)</t>
        </is>
      </c>
      <c r="L96" s="15" t="inlineStr">
        <is>
          <t>Validado</t>
        </is>
      </c>
      <c r="M96" s="15" t="inlineStr">
        <is>
          <t>Reenvio apenas dos dados da tela (SEND MAP ... DATAONLY) e verificação do RESP; infraestrutura de interface.</t>
        </is>
      </c>
      <c r="N96" s="5" t="n">
        <v>2</v>
      </c>
      <c r="O96" s="14" t="n"/>
      <c r="P96" s="14" t="n"/>
      <c r="Q96" s="2" t="n"/>
      <c r="R96" s="2" t="n"/>
      <c r="S96" s="2" t="n"/>
      <c r="T96" s="2" t="n"/>
      <c r="U96" s="2" t="n"/>
      <c r="V96" s="2" t="n"/>
      <c r="W96" s="2" t="n"/>
      <c r="X96" s="2" t="n"/>
      <c r="Y96" s="2" t="n"/>
      <c r="Z96" s="2" t="n"/>
    </row>
    <row r="97" hidden="1" s="16">
      <c r="A97" s="5" t="inlineStr">
        <is>
          <t>BNK1CRA-031</t>
        </is>
      </c>
      <c r="B97" s="5" t="inlineStr">
        <is>
          <t>BNK1CRA</t>
        </is>
      </c>
      <c r="C97" s="5" t="inlineStr">
        <is>
          <t>733-736</t>
        </is>
      </c>
      <c r="D97" s="5" t="inlineStr">
        <is>
          <t>738-740</t>
        </is>
      </c>
      <c r="E97" s="5" t="inlineStr">
        <is>
          <t>Preserve the RESP and RESP2, then set up the standard ABEND info before getting the applid, date/time etc. and linking to the Abend Handler program.</t>
        </is>
      </c>
      <c r="F97" s="10" t="inlineStr">
        <is>
          <t xml:space="preserve">          INITIALIZE ABNDINFO-REC
          MOVE EIBRESP    TO ABND-RESPCODE
          MOVE EIBRESP2   TO ABND-RESP2CODE</t>
        </is>
      </c>
      <c r="G97" s="5" t="inlineStr">
        <is>
          <t>Falha</t>
        </is>
      </c>
      <c r="H97" s="5" t="inlineStr">
        <is>
          <t>falha</t>
        </is>
      </c>
      <c r="I97" s="5" t="n"/>
      <c r="J97" s="19" t="n"/>
      <c r="K97" s="15" t="inlineStr">
        <is>
          <t>infraestrutura (excluída)</t>
        </is>
      </c>
      <c r="L97" s="15" t="inlineStr">
        <is>
          <t>Validado</t>
        </is>
      </c>
      <c r="M97" s="15" t="inlineStr">
        <is>
          <t>Montagem padrão das informações de ABEND (INITIALIZE ABNDINFO-REC; MOVE EIBRESP/EIBRESP2); tratamento técnico sem semântica bancária.</t>
        </is>
      </c>
      <c r="N97" s="5" t="n">
        <v>0</v>
      </c>
      <c r="O97" s="14" t="n"/>
      <c r="P97" s="14" t="n"/>
      <c r="Q97" s="2" t="n"/>
      <c r="R97" s="2" t="n"/>
      <c r="S97" s="2" t="n"/>
      <c r="T97" s="2" t="n"/>
      <c r="U97" s="2" t="n"/>
      <c r="V97" s="2" t="n"/>
      <c r="W97" s="2" t="n"/>
      <c r="X97" s="2" t="n"/>
      <c r="Y97" s="2" t="n"/>
      <c r="Z97" s="2" t="n"/>
    </row>
    <row r="98" hidden="1" s="16">
      <c r="A98" s="5" t="inlineStr">
        <is>
          <t>BNK1CRA-033</t>
        </is>
      </c>
      <c r="B98" s="5" t="inlineStr">
        <is>
          <t>BNK1CRA</t>
        </is>
      </c>
      <c r="C98" s="5" t="inlineStr">
        <is>
          <t>794</t>
        </is>
      </c>
      <c r="D98" s="5" t="inlineStr">
        <is>
          <t>796-806</t>
        </is>
      </c>
      <c r="E98" s="5" t="inlineStr">
        <is>
          <t>If we have elected to send the map and a beep</t>
        </is>
      </c>
      <c r="F98" s="10" t="inlineStr">
        <is>
          <t xml:space="preserve">    IF SEND-DATAONLY-ALARM
       EXEC CICS SEND MAP('BNK1CD')
          MAPSET('BNK1CDM')
          FROM(BNK1CDO)
          DATAONLY
          ALARM
          RESP(WS-CICS-RESP)
          RESP2(WS-CICS-RESP2)
       END-EXEC
       IF WS-CICS-RESP NOT = DFHRESP(NORMAL)</t>
        </is>
      </c>
      <c r="G98" s="5" t="inlineStr">
        <is>
          <t>Decisão e falha</t>
        </is>
      </c>
      <c r="H98" s="5" t="inlineStr">
        <is>
          <t>IF, falha</t>
        </is>
      </c>
      <c r="I98" s="5" t="n"/>
      <c r="J98" s="19" t="n"/>
      <c r="K98" s="15" t="inlineStr">
        <is>
          <t>infraestrutura (excluída)</t>
        </is>
      </c>
      <c r="L98" s="15" t="inlineStr">
        <is>
          <t>Validado</t>
        </is>
      </c>
      <c r="M98" s="15" t="inlineStr">
        <is>
          <t>Envio da tela com alarme sonoro (SEND MAP ... ALARM) e verificação do RESP; infraestrutura de interface.</t>
        </is>
      </c>
      <c r="N98" s="5" t="n">
        <v>2</v>
      </c>
      <c r="O98" s="14" t="n"/>
      <c r="P98" s="14" t="n"/>
      <c r="Q98" s="2" t="n"/>
      <c r="R98" s="2" t="n"/>
      <c r="S98" s="2" t="n"/>
      <c r="T98" s="2" t="n"/>
      <c r="U98" s="2" t="n"/>
      <c r="V98" s="2" t="n"/>
      <c r="W98" s="2" t="n"/>
      <c r="X98" s="2" t="n"/>
      <c r="Y98" s="2" t="n"/>
      <c r="Z98" s="2" t="n"/>
    </row>
    <row r="99" hidden="1" s="16">
      <c r="A99" s="5" t="inlineStr">
        <is>
          <t>BNK1CRA-034</t>
        </is>
      </c>
      <c r="B99" s="5" t="inlineStr">
        <is>
          <t>BNK1CRA</t>
        </is>
      </c>
      <c r="C99" s="5" t="inlineStr">
        <is>
          <t>808-811</t>
        </is>
      </c>
      <c r="D99" s="5" t="inlineStr">
        <is>
          <t>813-815</t>
        </is>
      </c>
      <c r="E99" s="5" t="inlineStr">
        <is>
          <t>Preserve the RESP and RESP2, then set up the standard ABEND info before getting the applid, date/time etc. and linking to the Abend Handler program.</t>
        </is>
      </c>
      <c r="F99" s="10" t="inlineStr">
        <is>
          <t xml:space="preserve">          INITIALIZE ABNDINFO-REC
          MOVE EIBRESP    TO ABND-RESPCODE
          MOVE EIBRESP2   TO ABND-RESP2CODE</t>
        </is>
      </c>
      <c r="G99" s="5" t="inlineStr">
        <is>
          <t>Falha</t>
        </is>
      </c>
      <c r="H99" s="5" t="inlineStr">
        <is>
          <t>falha</t>
        </is>
      </c>
      <c r="I99" s="5" t="n"/>
      <c r="J99" s="19" t="n"/>
      <c r="K99" s="15" t="inlineStr">
        <is>
          <t>infraestrutura (excluída)</t>
        </is>
      </c>
      <c r="L99" s="15" t="inlineStr">
        <is>
          <t>Validado</t>
        </is>
      </c>
      <c r="M99" s="15" t="inlineStr">
        <is>
          <t>Montagem padrão das informações de ABEND (INITIALIZE ABNDINFO-REC; MOVE EIBRESP/EIBRESP2); tratamento técnico sem semântica bancária.</t>
        </is>
      </c>
      <c r="N99" s="5" t="n">
        <v>0</v>
      </c>
      <c r="O99" s="14" t="n"/>
      <c r="P99" s="14" t="n"/>
      <c r="Q99" s="2" t="n"/>
      <c r="R99" s="2" t="n"/>
      <c r="S99" s="2" t="n"/>
      <c r="T99" s="2" t="n"/>
      <c r="U99" s="2" t="n"/>
      <c r="V99" s="2" t="n"/>
      <c r="W99" s="2" t="n"/>
      <c r="X99" s="2" t="n"/>
      <c r="Y99" s="2" t="n"/>
      <c r="Z99" s="2" t="n"/>
    </row>
    <row r="100" hidden="1" s="16">
      <c r="A100" s="5" t="inlineStr">
        <is>
          <t>BNK1CRA-036</t>
        </is>
      </c>
      <c r="B100" s="5" t="inlineStr">
        <is>
          <t>BNK1CRA</t>
        </is>
      </c>
      <c r="C100" s="5" t="inlineStr">
        <is>
          <t>874</t>
        </is>
      </c>
      <c r="D100" s="5" t="inlineStr">
        <is>
          <t>876-884</t>
        </is>
      </c>
      <c r="E100" s="5" t="inlineStr">
        <is>
          <t>Send the termination message</t>
        </is>
      </c>
      <c r="F100" s="10" t="inlineStr">
        <is>
          <t xml:space="preserve">    EXEC CICS SEND TEXT
       FROM(END-OF-SESSION-MESSAGE)
       ERASE
       FREEKB
       RESP(WS-CICS-RESP)
       RESP2(WS-CICS-RESP2)
    END-EXEC.
    IF WS-CICS-RESP NOT = DFHRESP(NORMAL)</t>
        </is>
      </c>
      <c r="G100" s="5" t="inlineStr">
        <is>
          <t>Decisão e falha</t>
        </is>
      </c>
      <c r="H100" s="5" t="inlineStr">
        <is>
          <t>IF, falha</t>
        </is>
      </c>
      <c r="I100" s="5" t="n"/>
      <c r="J100" s="19" t="n"/>
      <c r="K100" s="15" t="inlineStr">
        <is>
          <t>infraestrutura (excluída)</t>
        </is>
      </c>
      <c r="L100" s="15" t="inlineStr">
        <is>
          <t>Validado</t>
        </is>
      </c>
      <c r="M100" s="15" t="inlineStr">
        <is>
          <t>Envio da mensagem de encerramento (SEND TEXT) e verificação do RESP; infraestrutura de interface.</t>
        </is>
      </c>
      <c r="N100" s="5" t="n">
        <v>1</v>
      </c>
      <c r="O100" s="14" t="n"/>
      <c r="P100" s="14" t="n"/>
      <c r="Q100" s="2" t="n"/>
      <c r="R100" s="2" t="n"/>
      <c r="S100" s="2" t="n"/>
      <c r="T100" s="2" t="n"/>
      <c r="U100" s="2" t="n"/>
      <c r="V100" s="2" t="n"/>
      <c r="W100" s="2" t="n"/>
      <c r="X100" s="2" t="n"/>
      <c r="Y100" s="2" t="n"/>
      <c r="Z100" s="2" t="n"/>
    </row>
    <row r="101" hidden="1" s="16">
      <c r="A101" s="5" t="inlineStr">
        <is>
          <t>BNK1CRA-037</t>
        </is>
      </c>
      <c r="B101" s="5" t="inlineStr">
        <is>
          <t>BNK1CRA</t>
        </is>
      </c>
      <c r="C101" s="5" t="inlineStr">
        <is>
          <t>886-889</t>
        </is>
      </c>
      <c r="D101" s="5" t="inlineStr">
        <is>
          <t>891-893</t>
        </is>
      </c>
      <c r="E101" s="5" t="inlineStr">
        <is>
          <t>Preserve the RESP and RESP2, then set up the standard ABEND info before getting the applid, date/time etc. and linking to the Abend Handler program.</t>
        </is>
      </c>
      <c r="F101" s="10" t="inlineStr">
        <is>
          <t xml:space="preserve">       INITIALIZE ABNDINFO-REC
       MOVE EIBRESP    TO ABND-RESPCODE
       MOVE EIBRESP2   TO ABND-RESP2CODE</t>
        </is>
      </c>
      <c r="G101" s="5" t="inlineStr">
        <is>
          <t>Falha</t>
        </is>
      </c>
      <c r="H101" s="5" t="inlineStr">
        <is>
          <t>falha</t>
        </is>
      </c>
      <c r="I101" s="5" t="n"/>
      <c r="J101" s="19" t="n"/>
      <c r="K101" s="15" t="inlineStr">
        <is>
          <t>infraestrutura (excluída)</t>
        </is>
      </c>
      <c r="L101" s="15" t="inlineStr">
        <is>
          <t>Validado</t>
        </is>
      </c>
      <c r="M101" s="15" t="inlineStr">
        <is>
          <t>Montagem padrão das informações de ABEND (INITIALIZE ABNDINFO-REC; MOVE EIBRESP/EIBRESP2); tratamento técnico sem semântica bancária.</t>
        </is>
      </c>
      <c r="N101" s="5" t="n">
        <v>0</v>
      </c>
      <c r="O101" s="14" t="n"/>
      <c r="P101" s="14" t="n"/>
      <c r="Q101" s="2" t="n"/>
      <c r="R101" s="2" t="n"/>
      <c r="S101" s="2" t="n"/>
      <c r="T101" s="2" t="n"/>
      <c r="U101" s="2" t="n"/>
      <c r="V101" s="2" t="n"/>
      <c r="W101" s="2" t="n"/>
      <c r="X101" s="2" t="n"/>
      <c r="Y101" s="2" t="n"/>
      <c r="Z101" s="2" t="n"/>
    </row>
    <row r="102" hidden="1" s="16">
      <c r="A102" s="5" t="inlineStr">
        <is>
          <t>BNK1CRA-038</t>
        </is>
      </c>
      <c r="B102" s="5" t="inlineStr">
        <is>
          <t>BNK1CRA</t>
        </is>
      </c>
      <c r="C102" s="5" t="inlineStr">
        <is>
          <t>895</t>
        </is>
      </c>
      <c r="D102" s="5" t="inlineStr">
        <is>
          <t>897-983</t>
        </is>
      </c>
      <c r="E102" s="5" t="inlineStr">
        <is>
          <t>Get supplemental information</t>
        </is>
      </c>
      <c r="F102"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'BNK1CRA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MOVE 0 TO WS-AMOUNT-AS-FLOAT.</t>
        </is>
      </c>
      <c r="G102" s="5" t="inlineStr">
        <is>
          <t>Decisão e falha</t>
        </is>
      </c>
      <c r="H102" s="5" t="inlineStr">
        <is>
          <t>IF, falha</t>
        </is>
      </c>
      <c r="I102" s="5" t="inlineStr">
        <is>
          <t>comentário curto; trecho truncado (exibidas 50 de 66 linhas); contém GO TO (desvio incondicional)</t>
        </is>
      </c>
      <c r="J102" s="19" t="n"/>
      <c r="K102" s="19" t="inlineStr">
        <is>
          <t>sem comentário próprio (excluída)</t>
        </is>
      </c>
      <c r="L102" s="15" t="inlineStr">
        <is>
          <t>Validado</t>
        </is>
      </c>
      <c r="M102" s="19" t="inlineStr">
        <is>
          <t>Decisão do ponto 5 da pauta: a regra deste trecho não é descrita por nenhum comentário (caiu neste par porque o extrator vai até o próximo comentário) e foi retirada do gabarito. Regra redigida antes da decisão: Se o campo de valor estiver vazio (comprimento zero), a entrada é considerada inválida e é exibida a mensagem 'The Amount entered must be numeric.' O trecho atravessa as SECTIONs ABEND-THIS-TASK e VALIDATE-AMOUNT. As linhas 897-957 são coleta de informações de ABEND (infraestrutura); a regra vem das linhas 964-970 (IF AMTL = ZERO), que não têm comentário próprio e caíram neste par. Mesma regra da BNK1TFN-041, que lá tem comentário próprio. A aceitação direta de valor numérico (linhas 973-979) é complemento da validação e fica fora do gabarito. O comentário 'Get supplemental information' descreve só a parte de ABEND.</t>
        </is>
      </c>
      <c r="N102" s="5" t="n">
        <v>2</v>
      </c>
      <c r="O102" s="14" t="n"/>
      <c r="P102" s="14" t="n"/>
      <c r="Q102" s="2" t="n"/>
      <c r="R102" s="2" t="n"/>
      <c r="S102" s="2" t="n"/>
      <c r="T102" s="2" t="n"/>
      <c r="U102" s="2" t="n"/>
      <c r="V102" s="2" t="n"/>
      <c r="W102" s="2" t="n"/>
      <c r="X102" s="2" t="n"/>
      <c r="Y102" s="2" t="n"/>
      <c r="Z102" s="2" t="n"/>
    </row>
    <row r="103" hidden="1" s="16">
      <c r="A103" s="5" t="inlineStr">
        <is>
          <t>BNK1CRA-039</t>
        </is>
      </c>
      <c r="B103" s="5" t="inlineStr">
        <is>
          <t>BNK1CRA</t>
        </is>
      </c>
      <c r="C103" s="5" t="inlineStr">
        <is>
          <t>986</t>
        </is>
      </c>
      <c r="D103" s="5" t="inlineStr">
        <is>
          <t>988-1035</t>
        </is>
      </c>
      <c r="E103" s="5" t="inlineStr">
        <is>
          <t>It is entirely spaces</t>
        </is>
      </c>
      <c r="F103" s="10" t="inlineStr">
        <is>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t>
        </is>
      </c>
      <c r="G103" s="5" t="inlineStr">
        <is>
          <t>Decisão</t>
        </is>
      </c>
      <c r="H103" s="5" t="inlineStr">
        <is>
          <t>IF</t>
        </is>
      </c>
      <c r="I103" s="5" t="inlineStr">
        <is>
          <t>contém GO TO (desvio incondicional)</t>
        </is>
      </c>
      <c r="J103" s="15" t="inlineStr">
        <is>
          <t>Se o campo de valor for composto inteiramente de espaços, a entrada é considerada inválida e é exibida a mensagem 'The Amount entered must be numeric.'</t>
        </is>
      </c>
      <c r="K103" s="15" t="inlineStr">
        <is>
          <t>regra de negócio</t>
        </is>
      </c>
      <c r="L103" s="15" t="inlineStr">
        <is>
          <t>Validado</t>
        </is>
      </c>
      <c r="M103" s="15" t="inlineStr">
        <is>
          <t>O restante do trecho (UNSTRING, contagem de caracteres) é procedural e já aparece completo.</t>
        </is>
      </c>
      <c r="N103" s="5" t="n">
        <v>2</v>
      </c>
      <c r="O103" s="14" t="n"/>
      <c r="P103" s="14" t="inlineStr">
        <is>
          <t>Não</t>
        </is>
      </c>
      <c r="Q103" s="2" t="n"/>
      <c r="R103" s="2" t="n"/>
      <c r="S103" s="2" t="n"/>
      <c r="T103" s="2" t="n"/>
      <c r="U103" s="2" t="n"/>
      <c r="V103" s="2" t="n"/>
      <c r="W103" s="2" t="n"/>
      <c r="X103" s="2" t="n"/>
      <c r="Y103" s="2" t="n"/>
      <c r="Z103" s="2" t="n"/>
    </row>
    <row r="104" hidden="1" s="16">
      <c r="A104" s="5" t="inlineStr">
        <is>
          <t>BNK1CRA-040</t>
        </is>
      </c>
      <c r="B104" s="5" t="inlineStr">
        <is>
          <t>BNK1CRA</t>
        </is>
      </c>
      <c r="C104" s="5" t="inlineStr">
        <is>
          <t>1038-1042</t>
        </is>
      </c>
      <c r="D104" s="5" t="inlineStr">
        <is>
          <t>1044-1064</t>
        </is>
      </c>
      <c r="E104" s="5" t="inlineStr">
        <is>
          <t>If there is a decimal point, the field is not numeric. But if it is 1.1 then it is valid. So first of all we check to see that only the above chars are valid. We DO NOT tolerate embedded spaces too</t>
        </is>
      </c>
      <c r="F104" s="10" t="inlineStr">
        <is>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is>
      </c>
      <c r="G104" s="5" t="inlineStr">
        <is>
          <t>Decisão</t>
        </is>
      </c>
      <c r="H104" s="5" t="inlineStr">
        <is>
          <t>IF</t>
        </is>
      </c>
      <c r="I104" s="5" t="inlineStr">
        <is>
          <t>contém GO TO (desvio incondicional)</t>
        </is>
      </c>
      <c r="J104" s="15" t="inlineStr">
        <is>
          <t>Se o valor informado contiver caracteres diferentes de dígitos e ponto decimal, a entrada é considerada inválida e é exibida a mensagem 'Please supply a numeric amount.'</t>
        </is>
      </c>
      <c r="K104" s="15" t="inlineStr">
        <is>
          <t>regra de negócio</t>
        </is>
      </c>
      <c r="L104" s="15" t="inlineStr">
        <is>
          <t>Validado</t>
        </is>
      </c>
      <c r="M104" s="15" t="inlineStr">
        <is>
          <t>Os caracteres aceitos (dígitos 0 a 9 e '.') são os contados no INSPECT que antecede o trecho. O segundo literal é perdido por DELIMITED BY SPACES; a mensagem exibida termina em 'embedded'. Decisão da reunião com o orientador (ponto 8): a regra dos espaços embutidos foi retirada do gabarito, porque o defeito do código deixa incerto se vale a intenção do programador ou o comportamento real; fica documentada aqui: Se o valor informado contiver espaços embutidos, a entrada é considerada inválida e é exibida a mensagem 'Please supply a numeric amount without embedded'</t>
        </is>
      </c>
      <c r="N104" s="5" t="n">
        <v>2</v>
      </c>
      <c r="O104" s="14" t="n"/>
      <c r="P104" s="14" t="inlineStr">
        <is>
          <t>Não</t>
        </is>
      </c>
      <c r="Q104" s="2" t="n"/>
      <c r="R104" s="2" t="n"/>
      <c r="S104" s="2" t="n"/>
      <c r="T104" s="2" t="n"/>
      <c r="U104" s="2" t="n"/>
      <c r="V104" s="2" t="n"/>
      <c r="W104" s="2" t="n"/>
      <c r="X104" s="2" t="n"/>
      <c r="Y104" s="2" t="n"/>
      <c r="Z104" s="2" t="n"/>
    </row>
    <row r="105" hidden="1" s="16">
      <c r="A105" s="5" t="inlineStr">
        <is>
          <t>BNK1CRA-041</t>
        </is>
      </c>
      <c r="B105" s="5" t="inlineStr">
        <is>
          <t>BNK1CRA</t>
        </is>
      </c>
      <c r="C105" s="5" t="inlineStr">
        <is>
          <t>1067</t>
        </is>
      </c>
      <c r="D105" s="5" t="inlineStr">
        <is>
          <t>1069-1083</t>
        </is>
      </c>
      <c r="E105" s="5" t="inlineStr">
        <is>
          <t>Check that we have no or just one decimal point</t>
        </is>
      </c>
      <c r="F105" s="10" t="inlineStr">
        <is>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is>
      </c>
      <c r="G105" s="5" t="inlineStr">
        <is>
          <t>Decisão</t>
        </is>
      </c>
      <c r="H105" s="5" t="inlineStr">
        <is>
          <t>IF</t>
        </is>
      </c>
      <c r="I105" s="5" t="inlineStr">
        <is>
          <t>contém GO TO (desvio incondicional)</t>
        </is>
      </c>
      <c r="J105" s="15" t="inlineStr">
        <is>
          <t>Se o valor informado contiver mais de um ponto decimal, a entrada é considerada inválida e é exibida a mensagem 'Use one decimal point for amount only.'</t>
        </is>
      </c>
      <c r="K105" s="15" t="inlineStr">
        <is>
          <t>regra de negócio</t>
        </is>
      </c>
      <c r="L105" s="15" t="inlineStr">
        <is>
          <t>Validado</t>
        </is>
      </c>
      <c r="M105" s="15" t="n"/>
      <c r="N105" s="5" t="n">
        <v>1</v>
      </c>
      <c r="O105" s="14" t="n"/>
      <c r="P105" s="14" t="inlineStr">
        <is>
          <t>Não</t>
        </is>
      </c>
      <c r="Q105" s="2" t="n"/>
      <c r="R105" s="2" t="n"/>
      <c r="S105" s="2" t="n"/>
      <c r="T105" s="2" t="n"/>
      <c r="U105" s="2" t="n"/>
      <c r="V105" s="2" t="n"/>
      <c r="W105" s="2" t="n"/>
      <c r="X105" s="2" t="n"/>
      <c r="Y105" s="2" t="n"/>
      <c r="Z105" s="2" t="n"/>
    </row>
    <row r="106" hidden="1" s="16">
      <c r="A106" s="5" t="inlineStr">
        <is>
          <t>BNK1CRA-042</t>
        </is>
      </c>
      <c r="B106" s="5" t="inlineStr">
        <is>
          <t>BNK1CRA</t>
        </is>
      </c>
      <c r="C106" s="5" t="inlineStr">
        <is>
          <t>1086</t>
        </is>
      </c>
      <c r="D106" s="5" t="inlineStr">
        <is>
          <t>1088-1114</t>
        </is>
      </c>
      <c r="E106" s="5" t="inlineStr">
        <is>
          <t>Have we got too many decimals?</t>
        </is>
      </c>
      <c r="F106" s="10" t="inlineStr">
        <is>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is>
      </c>
      <c r="G106" s="5" t="inlineStr">
        <is>
          <t>Decisão</t>
        </is>
      </c>
      <c r="H106" s="5" t="inlineStr">
        <is>
          <t>IF</t>
        </is>
      </c>
      <c r="I106" s="5" t="n"/>
      <c r="J106" s="15" t="inlineStr">
        <is>
          <t>Se o valor informado tiver mais de duas casas decimais, a entrada é considerada inválida e é exibida a mensagem 'Only up to two decimal places are supported.'</t>
        </is>
      </c>
      <c r="K106" s="15" t="inlineStr">
        <is>
          <t>regra de negócio</t>
        </is>
      </c>
      <c r="L106" s="15" t="inlineStr">
        <is>
          <t>Validado</t>
        </is>
      </c>
      <c r="M106" s="15" t="inlineStr">
        <is>
          <t>A condição está nesta linha (dois IF aninhados); a mensagem e a consequência estão na BNK1CRA-043. Trecho de código extenso e repetitivo (INSPECT com contagem por dígito).</t>
        </is>
      </c>
      <c r="N106" s="5" t="n">
        <v>3</v>
      </c>
      <c r="O106" s="14" t="n"/>
      <c r="P106" s="14" t="inlineStr">
        <is>
          <t>Não</t>
        </is>
      </c>
      <c r="Q106" s="2" t="n"/>
      <c r="R106" s="2" t="n"/>
      <c r="S106" s="2" t="n"/>
      <c r="T106" s="2" t="n"/>
      <c r="U106" s="2" t="n"/>
      <c r="V106" s="2" t="n"/>
      <c r="W106" s="2" t="n"/>
      <c r="X106" s="2" t="n"/>
      <c r="Y106" s="2" t="n"/>
      <c r="Z106" s="2" t="n"/>
    </row>
    <row r="107" hidden="1" s="16">
      <c r="A107" s="5" t="inlineStr">
        <is>
          <t>BNK1CRA-043</t>
        </is>
      </c>
      <c r="B107" s="5" t="inlineStr">
        <is>
          <t>BNK1CRA</t>
        </is>
      </c>
      <c r="C107" s="5" t="inlineStr">
        <is>
          <t>1116</t>
        </is>
      </c>
      <c r="D107" s="5" t="inlineStr">
        <is>
          <t>1118-1166</t>
        </is>
      </c>
      <c r="E107" s="5" t="inlineStr">
        <is>
          <t>There are two numerics</t>
        </is>
      </c>
      <c r="F107" s="10" t="inlineStr">
        <is>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
       ABSTIME(WS-U-TIME)
    END-EXEC.
    EXEC CICS FORMATTIME
              ABSTIME(WS-U-TIME)
              DDMMYYYY(WS-ORIG-DATE)
              TIME(WS-TIME-NOW)
              DATESEP
    END-EXEC.
PTD999.
    EXIT.</t>
        </is>
      </c>
      <c r="G107" s="5" t="inlineStr">
        <is>
          <t>Decisão</t>
        </is>
      </c>
      <c r="H107" s="5" t="inlineStr">
        <is>
          <t>IF</t>
        </is>
      </c>
      <c r="I107" s="5" t="inlineStr">
        <is>
          <t>contém GO TO (desvio incondicional)</t>
        </is>
      </c>
      <c r="J107" s="19" t="n"/>
      <c r="K107" s="19" t="inlineStr">
        <is>
          <t>sem comentário próprio (excluída)</t>
        </is>
      </c>
      <c r="L107" s="15" t="inlineStr">
        <is>
          <t>Validado</t>
        </is>
      </c>
      <c r="M107" s="19" t="inlineStr">
        <is>
          <t>Decisão do ponto 5 da pauta: a regra deste trecho não é descrita por nenhum comentário (caiu neste par porque o extrator vai até o próximo comentário) e foi retirada do gabarito. Regra redigida antes da decisão: Se o valor numérico informado for igual a zero, a entrada é considerada inválida e é exibida a mensagem 'Please supply a non-zero amount.' As linhas iniciais (1118-1130) são a consequência da regra da BNK1CRA-042. O trecho também define a entrada como válida (VALID-DATA-SW = 'Y') quando todas as validações passam. O comentário 'There are two numerics' não descreve o que o código faz. O trecho avança até a SECTION POPULATE-TIME-DATE (linhas finais): o par vai até o próximo comentário, mesmo cruzando o limite de uma SECTION; essas linhas finais não fazem parte da regra.</t>
        </is>
      </c>
      <c r="N107" s="5" t="n">
        <v>1</v>
      </c>
      <c r="O107" s="14" t="n"/>
      <c r="P107" s="14" t="n"/>
      <c r="Q107" s="2" t="n"/>
      <c r="R107" s="2" t="n"/>
      <c r="S107" s="2" t="n"/>
      <c r="T107" s="2" t="n"/>
      <c r="U107" s="2" t="n"/>
      <c r="V107" s="2" t="n"/>
      <c r="W107" s="2" t="n"/>
      <c r="X107" s="2" t="n"/>
      <c r="Y107" s="2" t="n"/>
      <c r="Z107" s="2" t="n"/>
    </row>
    <row r="108" hidden="1" s="16">
      <c r="A108" s="5" t="inlineStr">
        <is>
          <t>BNK1TFN-001</t>
        </is>
      </c>
      <c r="B108" s="5" t="inlineStr">
        <is>
          <t>BNK1TFN</t>
        </is>
      </c>
      <c r="C108" s="5" t="inlineStr">
        <is>
          <t>180-181</t>
        </is>
      </c>
      <c r="D108" s="5" t="inlineStr">
        <is>
          <t>183-186</t>
        </is>
      </c>
      <c r="E108" s="5" t="inlineStr">
        <is>
          <t>Is it the first time through? If so, send the map with erased (empty) data fields.</t>
        </is>
      </c>
      <c r="F108" s="10" t="inlineStr">
        <is>
          <t xml:space="preserve">       WHEN EIBCALEN = ZERO
          MOVE LOW-VALUE TO BNK1TFO
          SET SEND-ERASE TO TRUE
          PERFORM SEND-MAP</t>
        </is>
      </c>
      <c r="G108" s="5" t="inlineStr">
        <is>
          <t>Decisão</t>
        </is>
      </c>
      <c r="H108" s="5" t="inlineStr">
        <is>
          <t>WHEN</t>
        </is>
      </c>
      <c r="I108" s="5" t="n"/>
      <c r="J108" s="19" t="n"/>
      <c r="K108" s="19" t="inlineStr">
        <is>
          <t>interface (excluída)</t>
        </is>
      </c>
      <c r="L108" s="14" t="inlineStr">
        <is>
          <t>Validado</t>
        </is>
      </c>
      <c r="M108" s="19" t="inlineStr">
        <is>
          <t>Decisão da reunião com o orientador (ponto 1): regra de interface (fluxo de teclas e telas), excluída do gabarito. Regra redigida antes da decisão: Se for a primeira execução da transação (EIBCALEN igual a zero), a tela é enviada com os campos vazios. Regra de interface (fluxo de teclas e telas), não de domínio bancário; decidir a categoria com o orientador junto com as demais teclas de função (BNK1CRA-001 a 007 e BNK1TFN-001 a 007).</t>
        </is>
      </c>
      <c r="N108" s="5" t="n">
        <v>1</v>
      </c>
      <c r="O108" s="14" t="n"/>
      <c r="P108" s="14" t="n"/>
      <c r="Q108" s="2" t="n"/>
      <c r="R108" s="2" t="n"/>
      <c r="S108" s="2" t="n"/>
      <c r="T108" s="2" t="n"/>
      <c r="U108" s="2" t="n"/>
      <c r="V108" s="2" t="n"/>
      <c r="W108" s="2" t="n"/>
      <c r="X108" s="2" t="n"/>
      <c r="Y108" s="2" t="n"/>
      <c r="Z108" s="2" t="n"/>
    </row>
    <row r="109" hidden="1" s="16">
      <c r="A109" s="5" t="inlineStr">
        <is>
          <t>BNK1TFN-002</t>
        </is>
      </c>
      <c r="B109" s="5" t="inlineStr">
        <is>
          <t>BNK1TFN</t>
        </is>
      </c>
      <c r="C109" s="5" t="inlineStr">
        <is>
          <t>189</t>
        </is>
      </c>
      <c r="D109" s="5" t="inlineStr">
        <is>
          <t>191-192</t>
        </is>
      </c>
      <c r="E109" s="5" t="inlineStr">
        <is>
          <t>If a PA key is pressed, just carry on</t>
        </is>
      </c>
      <c r="F109" s="10" t="inlineStr">
        <is>
          <t xml:space="preserve">       WHEN EIBAID = DFHPA1 OR DFHPA2 OR DFHPA3
          CONTINUE</t>
        </is>
      </c>
      <c r="G109" s="5" t="inlineStr">
        <is>
          <t>Decisão</t>
        </is>
      </c>
      <c r="H109" s="5" t="inlineStr">
        <is>
          <t>WHEN</t>
        </is>
      </c>
      <c r="I109" s="5" t="n"/>
      <c r="J109" s="19" t="n"/>
      <c r="K109" s="19" t="inlineStr">
        <is>
          <t>interface (excluída)</t>
        </is>
      </c>
      <c r="L109" s="14" t="inlineStr">
        <is>
          <t>Validado</t>
        </is>
      </c>
      <c r="M109" s="19" t="inlineStr">
        <is>
          <t>Decisão da reunião com o orientador (ponto 1): regra de interface (fluxo de teclas e telas), excluída do gabarito. Regra redigida antes da decisão: Se uma tecla PA for pressionada (PA1, PA2 ou PA3), nenhuma ação é executada. Regra de interface (fluxo de teclas e telas), não de domínio bancário; decidir a categoria com o orientador junto com as demais teclas de função (BNK1CRA-001 a 007 e BNK1TFN-001 a 007).</t>
        </is>
      </c>
      <c r="N109" s="5" t="n">
        <v>1</v>
      </c>
      <c r="O109" s="14" t="n"/>
      <c r="P109" s="14" t="n"/>
      <c r="Q109" s="2" t="n"/>
      <c r="R109" s="2" t="n"/>
      <c r="S109" s="2" t="n"/>
      <c r="T109" s="2" t="n"/>
      <c r="U109" s="2" t="n"/>
      <c r="V109" s="2" t="n"/>
      <c r="W109" s="2" t="n"/>
      <c r="X109" s="2" t="n"/>
      <c r="Y109" s="2" t="n"/>
      <c r="Z109" s="2" t="n"/>
    </row>
    <row r="110" hidden="1" s="16">
      <c r="A110" s="5" t="inlineStr">
        <is>
          <t>BNK1TFN-003</t>
        </is>
      </c>
      <c r="B110" s="5" t="inlineStr">
        <is>
          <t>BNK1TFN</t>
        </is>
      </c>
      <c r="C110" s="5" t="inlineStr">
        <is>
          <t>195</t>
        </is>
      </c>
      <c r="D110" s="5" t="inlineStr">
        <is>
          <t>197-203</t>
        </is>
      </c>
      <c r="E110" s="5" t="inlineStr">
        <is>
          <t>When Pf3 is pressed, return to the main menu</t>
        </is>
      </c>
      <c r="F110" s="10" t="inlineStr">
        <is>
          <t xml:space="preserve">       WHEN EIBAID = DFHPF3
          EXEC CICS RETURN
             TRANSID('OMEN')
             IMMEDIATE
             RESP(WS-CICS-RESP)
             RESP2(WS-CICS-RESP2)
          END-EXEC</t>
        </is>
      </c>
      <c r="G110" s="5" t="inlineStr">
        <is>
          <t>Decisão</t>
        </is>
      </c>
      <c r="H110" s="5" t="inlineStr">
        <is>
          <t>WHEN</t>
        </is>
      </c>
      <c r="I110" s="5" t="n"/>
      <c r="J110" s="19" t="n"/>
      <c r="K110" s="19" t="inlineStr">
        <is>
          <t>interface (excluída)</t>
        </is>
      </c>
      <c r="L110" s="14" t="inlineStr">
        <is>
          <t>Validado</t>
        </is>
      </c>
      <c r="M110" s="19" t="inlineStr">
        <is>
          <t>Decisão da reunião com o orientador (ponto 1): regra de interface (fluxo de teclas e telas), excluída do gabarito. Regra redigida antes da decisão: Se a tecla PF3 for pressionada, o usuário retorna ao menu principal (transação OMEN). Regra de interface (fluxo de teclas e telas), não de domínio bancário; decidir a categoria com o orientador junto com as demais teclas de função (BNK1CRA-001 a 007 e BNK1TFN-001 a 007).</t>
        </is>
      </c>
      <c r="N110" s="5" t="n">
        <v>1</v>
      </c>
      <c r="O110" s="14" t="n"/>
      <c r="P110" s="14" t="n"/>
      <c r="Q110" s="2" t="n"/>
      <c r="R110" s="2" t="n"/>
      <c r="S110" s="2" t="n"/>
      <c r="T110" s="2" t="n"/>
      <c r="U110" s="2" t="n"/>
      <c r="V110" s="2" t="n"/>
      <c r="W110" s="2" t="n"/>
      <c r="X110" s="2" t="n"/>
      <c r="Y110" s="2" t="n"/>
      <c r="Z110" s="2" t="n"/>
    </row>
    <row r="111" hidden="1" s="16">
      <c r="A111" s="5" t="inlineStr">
        <is>
          <t>BNK1TFN-004</t>
        </is>
      </c>
      <c r="B111" s="5" t="inlineStr">
        <is>
          <t>BNK1TFN</t>
        </is>
      </c>
      <c r="C111" s="5" t="inlineStr">
        <is>
          <t>206-207</t>
        </is>
      </c>
      <c r="D111" s="5" t="inlineStr">
        <is>
          <t>209-213</t>
        </is>
      </c>
      <c r="E111" s="5" t="inlineStr">
        <is>
          <t>If the aid or Pf12 is pressed, then send a termination message.</t>
        </is>
      </c>
      <c r="F111" s="10" t="inlineStr">
        <is>
          <t xml:space="preserve">       WHEN EIBAID = DFHAID OR DFHPF12
          PERFORM SEND-TERMINATION-MSG
          EXEC CICS
             RETURN
          END-EXEC</t>
        </is>
      </c>
      <c r="G111" s="5" t="inlineStr">
        <is>
          <t>Decisão</t>
        </is>
      </c>
      <c r="H111" s="5" t="inlineStr">
        <is>
          <t>WHEN</t>
        </is>
      </c>
      <c r="I111" s="5" t="n"/>
      <c r="J111" s="19" t="n"/>
      <c r="K111" s="19" t="inlineStr">
        <is>
          <t>interface (excluída)</t>
        </is>
      </c>
      <c r="L111" s="14" t="inlineStr">
        <is>
          <t>Validado</t>
        </is>
      </c>
      <c r="M111" s="19" t="inlineStr">
        <is>
          <t>Decisão da reunião com o orientador (ponto 1): regra de interface (fluxo de teclas e telas), excluída do gabarito. Regra redigida antes da decisão: Se a tecla PF12 for pressionada, é enviada a mensagem de encerramento e a transação termina.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206-213).</t>
        </is>
      </c>
      <c r="N111" s="5" t="n">
        <v>1</v>
      </c>
      <c r="O111" s="14" t="n"/>
      <c r="P111" s="14" t="n"/>
      <c r="Q111" s="2" t="n"/>
      <c r="R111" s="2" t="n"/>
      <c r="S111" s="2" t="n"/>
      <c r="T111" s="2" t="n"/>
      <c r="U111" s="2" t="n"/>
      <c r="V111" s="2" t="n"/>
      <c r="W111" s="2" t="n"/>
      <c r="X111" s="2" t="n"/>
      <c r="Y111" s="2" t="n"/>
      <c r="Z111" s="2" t="n"/>
    </row>
    <row r="112" hidden="1" s="16">
      <c r="A112" s="5" t="inlineStr">
        <is>
          <t>BNK1TFN-005</t>
        </is>
      </c>
      <c r="B112" s="5" t="inlineStr">
        <is>
          <t>BNK1TFN</t>
        </is>
      </c>
      <c r="C112" s="5" t="inlineStr">
        <is>
          <t>216</t>
        </is>
      </c>
      <c r="D112" s="5" t="inlineStr">
        <is>
          <t>218-224</t>
        </is>
      </c>
      <c r="E112" s="5" t="inlineStr">
        <is>
          <t>When CLEAR is pressed</t>
        </is>
      </c>
      <c r="F112" s="10" t="inlineStr">
        <is>
          <t xml:space="preserve">       WHEN EIBAID = DFHCLEAR
         EXEC CICS SEND CONTROL
                   ERASE
                   FREEKB
         END-EXEC
         EXEC CICS RETURN
         END-EXEC</t>
        </is>
      </c>
      <c r="G112" s="5" t="inlineStr">
        <is>
          <t>Decisão</t>
        </is>
      </c>
      <c r="H112" s="5" t="inlineStr">
        <is>
          <t>WHEN</t>
        </is>
      </c>
      <c r="I112" s="5" t="n"/>
      <c r="J112" s="19" t="n"/>
      <c r="K112" s="19" t="inlineStr">
        <is>
          <t>interface (excluída)</t>
        </is>
      </c>
      <c r="L112" s="14" t="inlineStr">
        <is>
          <t>Validado</t>
        </is>
      </c>
      <c r="M112" s="19" t="inlineStr">
        <is>
          <t>Decisão da reunião com o orientador (ponto 1): regra de interface (fluxo de teclas e telas), excluída do gabarito. Regra redigida antes da decisão: Se a tecla CLEAR for pressionada, a tela é limpa e a transação termina. Regra de interface (fluxo de teclas e telas), não de domínio bancário; decidir a categoria com o orientador junto com as demais teclas de função (BNK1CRA-001 a 007 e BNK1TFN-001 a 007).</t>
        </is>
      </c>
      <c r="N112" s="5" t="n">
        <v>1</v>
      </c>
      <c r="O112" s="14" t="n"/>
      <c r="P112" s="14" t="n"/>
      <c r="Q112" s="2" t="n"/>
      <c r="R112" s="2" t="n"/>
      <c r="S112" s="2" t="n"/>
      <c r="T112" s="2" t="n"/>
      <c r="U112" s="2" t="n"/>
      <c r="V112" s="2" t="n"/>
      <c r="W112" s="2" t="n"/>
      <c r="X112" s="2" t="n"/>
      <c r="Y112" s="2" t="n"/>
      <c r="Z112" s="2" t="n"/>
    </row>
    <row r="113" hidden="1" s="16">
      <c r="A113" s="5" t="inlineStr">
        <is>
          <t>BNK1TFN-006</t>
        </is>
      </c>
      <c r="B113" s="5" t="inlineStr">
        <is>
          <t>BNK1TFN</t>
        </is>
      </c>
      <c r="C113" s="5" t="inlineStr">
        <is>
          <t>227</t>
        </is>
      </c>
      <c r="D113" s="5" t="inlineStr">
        <is>
          <t>229-230</t>
        </is>
      </c>
      <c r="E113" s="5" t="inlineStr">
        <is>
          <t>When enter is pressed then process the content</t>
        </is>
      </c>
      <c r="F113" s="10" t="inlineStr">
        <is>
          <t xml:space="preserve">       WHEN EIBAID = DFHENTER
          PERFORM PROCESS-MAP</t>
        </is>
      </c>
      <c r="G113" s="5" t="inlineStr">
        <is>
          <t>Decisão</t>
        </is>
      </c>
      <c r="H113" s="5" t="inlineStr">
        <is>
          <t>WHEN</t>
        </is>
      </c>
      <c r="I113" s="5" t="n"/>
      <c r="J113" s="19" t="n"/>
      <c r="K113" s="19" t="inlineStr">
        <is>
          <t>interface (excluída)</t>
        </is>
      </c>
      <c r="L113" s="14" t="inlineStr">
        <is>
          <t>Validado</t>
        </is>
      </c>
      <c r="M113" s="19" t="inlineStr">
        <is>
          <t>Decisão da reunião com o orientador (ponto 1): regra de interface (fluxo de teclas e telas), excluída do gabarito. Regra redigida antes da decisão: Se a tecla ENTER for pressionada, os dados informados são processados (PROCESS-MAP). Regra de interface (fluxo de teclas e telas), não de domínio bancário; decidir a categoria com o orientador junto com as demais teclas de função (BNK1CRA-001 a 007 e BNK1TFN-001 a 007). É o gatilho do processamento de negócio; a regra em si está na BNK1TFN-014.</t>
        </is>
      </c>
      <c r="N113" s="5" t="n">
        <v>1</v>
      </c>
      <c r="O113" s="14" t="n"/>
      <c r="P113" s="14" t="n"/>
      <c r="Q113" s="2" t="n"/>
      <c r="R113" s="2" t="n"/>
      <c r="S113" s="2" t="n"/>
      <c r="T113" s="2" t="n"/>
      <c r="U113" s="2" t="n"/>
      <c r="V113" s="2" t="n"/>
      <c r="W113" s="2" t="n"/>
      <c r="X113" s="2" t="n"/>
      <c r="Y113" s="2" t="n"/>
      <c r="Z113" s="2" t="n"/>
    </row>
    <row r="114" hidden="1" s="16">
      <c r="A114" s="5" t="inlineStr">
        <is>
          <t>BNK1TFN-007</t>
        </is>
      </c>
      <c r="B114" s="5" t="inlineStr">
        <is>
          <t>BNK1TFN</t>
        </is>
      </c>
      <c r="C114" s="5" t="inlineStr">
        <is>
          <t>233</t>
        </is>
      </c>
      <c r="D114" s="5" t="inlineStr">
        <is>
          <t>235-237</t>
        </is>
      </c>
      <c r="E114" s="5" t="inlineStr">
        <is>
          <t>When anything else happens, send the invalid key message</t>
        </is>
      </c>
      <c r="F114" s="10" t="inlineStr">
        <is>
          <t xml:space="preserve">       WHEN OTHER
          MOVE LOW-VALUES TO BNK1TFO
          MOVE 'Invalid key pressed.' TO MESSAGEO</t>
        </is>
      </c>
      <c r="G114" s="5" t="inlineStr">
        <is>
          <t>Decisão</t>
        </is>
      </c>
      <c r="H114" s="5" t="inlineStr">
        <is>
          <t>WHEN</t>
        </is>
      </c>
      <c r="I114" s="5" t="n"/>
      <c r="J114" s="19" t="n"/>
      <c r="K114" s="19" t="inlineStr">
        <is>
          <t>interface (excluída)</t>
        </is>
      </c>
      <c r="L114" s="14" t="inlineStr">
        <is>
          <t>Validado</t>
        </is>
      </c>
      <c r="M114" s="19" t="inlineStr">
        <is>
          <t>Decisão da reunião com o orientador (ponto 1): regra de interface (fluxo de teclas e telas), excluída do gabarito. Regra redigida antes da decisão: Se qualquer outra tecla for pressionada, é exibida a mensagem 'Invalid key pressed.' com alarme sonoro. Regra de interface (fluxo de teclas e telas), não de domínio bancário; decidir a categoria com o orientador junto com as demais teclas de função (BNK1CRA-001 a 007 e BNK1TFN-001 a 007). Código parcial: o extrator cortou antes do restante (SET SEND-DATAONLY-ALARM, PERFORM SEND-MAP e END-EVALUATE), registrado na BNK1TFN-008 (Descartados) como possível código desativado.</t>
        </is>
      </c>
      <c r="N114" s="5" t="n">
        <v>1</v>
      </c>
      <c r="O114" s="14" t="n"/>
      <c r="P114" s="14" t="n"/>
      <c r="Q114" s="2" t="n"/>
      <c r="R114" s="2" t="n"/>
      <c r="S114" s="2" t="n"/>
      <c r="T114" s="2" t="n"/>
      <c r="U114" s="2" t="n"/>
      <c r="V114" s="2" t="n"/>
      <c r="W114" s="2" t="n"/>
      <c r="X114" s="2" t="n"/>
      <c r="Y114" s="2" t="n"/>
      <c r="Z114" s="2" t="n"/>
    </row>
    <row r="115" hidden="1" s="16">
      <c r="A115" s="5" t="inlineStr">
        <is>
          <t>BNK1TFN-009</t>
        </is>
      </c>
      <c r="B115" s="5" t="inlineStr">
        <is>
          <t>BNK1TFN</t>
        </is>
      </c>
      <c r="C115" s="5" t="inlineStr">
        <is>
          <t>245</t>
        </is>
      </c>
      <c r="D115" s="5" t="inlineStr">
        <is>
          <t>247-255</t>
        </is>
      </c>
      <c r="E115" s="5" t="inlineStr">
        <is>
          <t>Now RETURN</t>
        </is>
      </c>
      <c r="F115" s="10" t="inlineStr">
        <is>
          <t xml:space="preserve">     EXEC CICS
        RETURN TRANSID('OTFN')
        COMMAREA(WS-COMMAREA)
        LENGTH(29)
        RESP(WS-CICS-RESP)
        RESP2(WS-CICS-RESP2)
     END-EXEC.
    IF WS-CICS-RESP NOT = DFHRESP(NORMAL)</t>
        </is>
      </c>
      <c r="G115" s="5" t="inlineStr">
        <is>
          <t>Decisão e falha</t>
        </is>
      </c>
      <c r="H115" s="5" t="inlineStr">
        <is>
          <t>IF, falha</t>
        </is>
      </c>
      <c r="I115" s="5" t="inlineStr">
        <is>
          <t>comentário curto</t>
        </is>
      </c>
      <c r="J115" s="19" t="n"/>
      <c r="K115" s="15" t="inlineStr">
        <is>
          <t>infraestrutura (excluída)</t>
        </is>
      </c>
      <c r="L115" s="15" t="inlineStr">
        <is>
          <t>Validado</t>
        </is>
      </c>
      <c r="M115" s="15" t="inlineStr">
        <is>
          <t>Retorno pseudo-conversacional (RETURN TRANSID com COMMAREA) e verificação do RESP; controle de transação.</t>
        </is>
      </c>
      <c r="N115" s="5" t="n">
        <v>1</v>
      </c>
      <c r="O115" s="14" t="n"/>
      <c r="P115" s="14" t="n"/>
      <c r="Q115" s="2" t="n"/>
      <c r="R115" s="2" t="n"/>
      <c r="S115" s="2" t="n"/>
      <c r="T115" s="2" t="n"/>
      <c r="U115" s="2" t="n"/>
      <c r="V115" s="2" t="n"/>
      <c r="W115" s="2" t="n"/>
      <c r="X115" s="2" t="n"/>
      <c r="Y115" s="2" t="n"/>
      <c r="Z115" s="2" t="n"/>
    </row>
    <row r="116" hidden="1" s="16">
      <c r="A116" s="5" t="inlineStr">
        <is>
          <t>BNK1TFN-010</t>
        </is>
      </c>
      <c r="B116" s="5" t="inlineStr">
        <is>
          <t>BNK1TFN</t>
        </is>
      </c>
      <c r="C116" s="5" t="inlineStr">
        <is>
          <t>257-260</t>
        </is>
      </c>
      <c r="D116" s="5" t="inlineStr">
        <is>
          <t>262-264</t>
        </is>
      </c>
      <c r="E116" s="5" t="inlineStr">
        <is>
          <t>Preserve the RESP and RESP2, then set up the standard ABEND info before getting the applid, date/time etc. and linking to the Abend Handler program.</t>
        </is>
      </c>
      <c r="F116" s="10" t="inlineStr">
        <is>
          <t xml:space="preserve">       INITIALIZE ABNDINFO-REC
       MOVE EIBRESP    TO ABND-RESPCODE
       MOVE EIBRESP2   TO ABND-RESP2CODE</t>
        </is>
      </c>
      <c r="G116" s="5" t="inlineStr">
        <is>
          <t>Falha</t>
        </is>
      </c>
      <c r="H116" s="5" t="inlineStr">
        <is>
          <t>falha</t>
        </is>
      </c>
      <c r="I116" s="5" t="n"/>
      <c r="J116" s="19" t="n"/>
      <c r="K116" s="15" t="inlineStr">
        <is>
          <t>infraestrutura (excluída)</t>
        </is>
      </c>
      <c r="L116" s="15" t="inlineStr">
        <is>
          <t>Validado</t>
        </is>
      </c>
      <c r="M116" s="15" t="inlineStr">
        <is>
          <t>Montagem padrão das informações de ABEND (INITIALIZE ABNDINFO-REC; MOVE EIBRESP/EIBRESP2); tratamento técnico sem semântica bancária.</t>
        </is>
      </c>
      <c r="N116" s="5" t="n">
        <v>0</v>
      </c>
      <c r="O116" s="14" t="n"/>
      <c r="P116" s="14" t="n"/>
      <c r="Q116" s="2" t="n"/>
      <c r="R116" s="2" t="n"/>
      <c r="S116" s="2" t="n"/>
      <c r="T116" s="2" t="n"/>
      <c r="U116" s="2" t="n"/>
      <c r="V116" s="2" t="n"/>
      <c r="W116" s="2" t="n"/>
      <c r="X116" s="2" t="n"/>
      <c r="Y116" s="2" t="n"/>
      <c r="Z116" s="2" t="n"/>
    </row>
    <row r="117" s="16">
      <c r="A117" s="5" t="inlineStr">
        <is>
          <t>BNK1TFN-014</t>
        </is>
      </c>
      <c r="B117" s="5" t="inlineStr">
        <is>
          <t>BNK1TFN</t>
        </is>
      </c>
      <c r="C117" s="5" t="inlineStr">
        <is>
          <t>333-334</t>
        </is>
      </c>
      <c r="D117" s="5" t="inlineStr">
        <is>
          <t>336-340</t>
        </is>
      </c>
      <c r="E117" s="5" t="inlineStr">
        <is>
          <t>If the data passes validation go on to get an account</t>
        </is>
      </c>
      <c r="F117" s="10" t="inlineStr">
        <is>
          <t xml:space="preserve">    IF VALID-DATA
       PERFORM GET-ACC-DATA
    END-IF.
    SET SEND-DATAONLY-ALARM TO TRUE.</t>
        </is>
      </c>
      <c r="G117" s="5" t="inlineStr">
        <is>
          <t>Decisão</t>
        </is>
      </c>
      <c r="H117" s="5" t="inlineStr">
        <is>
          <t>IF</t>
        </is>
      </c>
      <c r="I117" s="5" t="n"/>
      <c r="J117" s="15" t="inlineStr">
        <is>
          <t>Se os dados informados passarem na validação (VALID-DATA), a transferência é solicitada ao programa XFRFUN (GET-ACC-DATA).</t>
        </is>
      </c>
      <c r="K117" s="15" t="inlineStr">
        <is>
          <t>regra de negócio</t>
        </is>
      </c>
      <c r="L117" s="15" t="inlineStr">
        <is>
          <t>Validado</t>
        </is>
      </c>
      <c r="M117" s="15" t="inlineStr">
        <is>
          <t>O SET SEND-DATAONLY-ALARM executado em seguida é procedural e fica fora da regra.</t>
        </is>
      </c>
      <c r="N117" s="5" t="n">
        <v>1</v>
      </c>
      <c r="O117" s="14" t="n"/>
      <c r="P117" s="14" t="inlineStr">
        <is>
          <t>Incompleto</t>
        </is>
      </c>
      <c r="Q117" s="2" t="n"/>
      <c r="R117" s="2" t="n"/>
      <c r="S117" s="2" t="n"/>
      <c r="T117" s="2" t="n"/>
      <c r="U117" s="2" t="n"/>
      <c r="V117" s="2" t="n"/>
      <c r="W117" s="2" t="n"/>
      <c r="X117" s="2" t="n"/>
      <c r="Y117" s="2" t="n"/>
      <c r="Z117" s="2" t="n"/>
    </row>
    <row r="118" hidden="1" s="16">
      <c r="A118" s="5" t="inlineStr">
        <is>
          <t>BNK1TFN-016</t>
        </is>
      </c>
      <c r="B118" s="5" t="inlineStr">
        <is>
          <t>BNK1TFN</t>
        </is>
      </c>
      <c r="C118" s="5" t="inlineStr">
        <is>
          <t>354</t>
        </is>
      </c>
      <c r="D118" s="5" t="inlineStr">
        <is>
          <t>356-364</t>
        </is>
      </c>
      <c r="E118" s="5" t="inlineStr">
        <is>
          <t>Retrieve the data</t>
        </is>
      </c>
      <c r="F118" s="10" t="inlineStr">
        <is>
          <t xml:space="preserve">    EXEC CICS
       RECEIVE MAP('BNK1TF')
       MAPSET('BNK1TFM')
       INTO(BNK1TFI)
       RESP(WS-CICS-RESP)
       RESP2(WS-CICS-RESP2)
    END-EXEC.
    IF WS-CICS-RESP NOT = DFHRESP(NORMAL)</t>
        </is>
      </c>
      <c r="G118" s="5" t="inlineStr">
        <is>
          <t>Decisão e falha</t>
        </is>
      </c>
      <c r="H118" s="5" t="inlineStr">
        <is>
          <t>IF, falha</t>
        </is>
      </c>
      <c r="I118" s="5" t="inlineStr">
        <is>
          <t>comentário curto</t>
        </is>
      </c>
      <c r="J118" s="19" t="n"/>
      <c r="K118" s="15" t="inlineStr">
        <is>
          <t>infraestrutura (excluída)</t>
        </is>
      </c>
      <c r="L118" s="15" t="inlineStr">
        <is>
          <t>Validado</t>
        </is>
      </c>
      <c r="M118" s="15" t="inlineStr">
        <is>
          <t>Recebimento dos dados da tela (RECEIVE MAP) e verificação do RESP; infraestrutura de interface.</t>
        </is>
      </c>
      <c r="N118" s="5" t="n">
        <v>1</v>
      </c>
      <c r="O118" s="14" t="n"/>
      <c r="P118" s="14" t="n"/>
      <c r="Q118" s="2" t="n"/>
      <c r="R118" s="2" t="n"/>
      <c r="S118" s="2" t="n"/>
      <c r="T118" s="2" t="n"/>
      <c r="U118" s="2" t="n"/>
      <c r="V118" s="2" t="n"/>
      <c r="W118" s="2" t="n"/>
      <c r="X118" s="2" t="n"/>
      <c r="Y118" s="2" t="n"/>
      <c r="Z118" s="2" t="n"/>
    </row>
    <row r="119" hidden="1" s="16">
      <c r="A119" s="5" t="inlineStr">
        <is>
          <t>BNK1TFN-017</t>
        </is>
      </c>
      <c r="B119" s="5" t="inlineStr">
        <is>
          <t>BNK1TFN</t>
        </is>
      </c>
      <c r="C119" s="5" t="inlineStr">
        <is>
          <t>366-369</t>
        </is>
      </c>
      <c r="D119" s="5" t="inlineStr">
        <is>
          <t>371-373</t>
        </is>
      </c>
      <c r="E119" s="5" t="inlineStr">
        <is>
          <t>Preserve the RESP and RESP2, then set up the standard ABEND info before getting the applid, date/time etc. and linking to the Abend Handler program.</t>
        </is>
      </c>
      <c r="F119" s="10" t="inlineStr">
        <is>
          <t xml:space="preserve">       INITIALIZE ABNDINFO-REC
       MOVE EIBRESP    TO ABND-RESPCODE
       MOVE EIBRESP2   TO ABND-RESP2CODE</t>
        </is>
      </c>
      <c r="G119" s="5" t="inlineStr">
        <is>
          <t>Falha</t>
        </is>
      </c>
      <c r="H119" s="5" t="inlineStr">
        <is>
          <t>falha</t>
        </is>
      </c>
      <c r="I119" s="5" t="n"/>
      <c r="J119" s="19" t="n"/>
      <c r="K119" s="15" t="inlineStr">
        <is>
          <t>infraestrutura (excluída)</t>
        </is>
      </c>
      <c r="L119" s="15" t="inlineStr">
        <is>
          <t>Validado</t>
        </is>
      </c>
      <c r="M119" s="15" t="inlineStr">
        <is>
          <t>Montagem padrão das informações de ABEND (INITIALIZE ABNDINFO-REC; MOVE EIBRESP/EIBRESP2); tratamento técnico sem semântica bancária.</t>
        </is>
      </c>
      <c r="N119" s="5" t="n">
        <v>0</v>
      </c>
      <c r="O119" s="14" t="n"/>
      <c r="P119" s="14" t="n"/>
      <c r="Q119" s="2" t="n"/>
      <c r="R119" s="2" t="n"/>
      <c r="S119" s="2" t="n"/>
      <c r="T119" s="2" t="n"/>
      <c r="U119" s="2" t="n"/>
      <c r="V119" s="2" t="n"/>
      <c r="W119" s="2" t="n"/>
      <c r="X119" s="2" t="n"/>
      <c r="Y119" s="2" t="n"/>
      <c r="Z119" s="2" t="n"/>
    </row>
    <row r="120" s="16">
      <c r="A120" s="5" t="inlineStr">
        <is>
          <t>BNK1TFN-019</t>
        </is>
      </c>
      <c r="B120" s="5" t="inlineStr">
        <is>
          <t>BNK1TFN</t>
        </is>
      </c>
      <c r="C120" s="5" t="inlineStr">
        <is>
          <t>431</t>
        </is>
      </c>
      <c r="D120" s="5" t="inlineStr">
        <is>
          <t>433-467</t>
        </is>
      </c>
      <c r="E120" s="5" t="inlineStr">
        <is>
          <t>Perform validation on the incoming fields</t>
        </is>
      </c>
      <c r="F120" s="10" t="inlineStr">
        <is>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is>
      </c>
      <c r="G120" s="5" t="inlineStr">
        <is>
          <t>Decisão</t>
        </is>
      </c>
      <c r="H120" s="5" t="inlineStr">
        <is>
          <t>IF</t>
        </is>
      </c>
      <c r="I120" s="5" t="inlineStr">
        <is>
          <t>contém GO TO (desvio incondicional)</t>
        </is>
      </c>
      <c r="J120" s="15" t="inlineStr">
        <is>
          <t>1. Se o número da conta de origem informado não for numérico, a entrada é considerada inválida e é exibida a mensagem 'Please enter a FROM account no'.
2. Se o número da conta de destino informado não for numérico, a entrada é considerada inválida e é exibida a mensagem 'Please enter a TO account no'.
3. Se as contas de origem e de destino informadas forem iguais, a entrada é considerada inválida e é exibida a mensagem 'The FROM &amp; TO account should be different'.
4. Se a conta de origem ou a de destino for 00000000, a entrada é considerada inválida e é exibida a mensagem 'Account no 00000000 is not valid'.</t>
        </is>
      </c>
      <c r="K120" s="15" t="inlineStr">
        <is>
          <t>regra de negócio</t>
        </is>
      </c>
      <c r="L120" s="15" t="inlineStr">
        <is>
          <t>Validado</t>
        </is>
      </c>
      <c r="M120" s="15" t="inlineStr">
        <is>
          <t>Linha vale por quatro regras. A restrição de contas iguais também existe no XFRFUN-003 (ABEND 'SAME'): a tela barra antes de chegar ao programa de negócio.</t>
        </is>
      </c>
      <c r="N120" s="5" t="n">
        <v>4</v>
      </c>
      <c r="O120" s="14" t="n"/>
      <c r="P120" s="14" t="inlineStr">
        <is>
          <t>Não</t>
        </is>
      </c>
      <c r="Q120" s="2" t="n"/>
      <c r="R120" s="2" t="n"/>
      <c r="S120" s="2" t="n"/>
      <c r="T120" s="2" t="n"/>
      <c r="U120" s="2" t="n"/>
      <c r="V120" s="2" t="n"/>
      <c r="W120" s="2" t="n"/>
      <c r="X120" s="2" t="n"/>
      <c r="Y120" s="2" t="n"/>
      <c r="Z120" s="2" t="n"/>
    </row>
    <row r="121" hidden="1" s="16">
      <c r="A121" s="5" t="inlineStr">
        <is>
          <t>BNK1TFN-022</t>
        </is>
      </c>
      <c r="B121" s="5" t="inlineStr">
        <is>
          <t>BNK1TFN</t>
        </is>
      </c>
      <c r="C121" s="5" t="inlineStr">
        <is>
          <t>492</t>
        </is>
      </c>
      <c r="D121" s="5" t="inlineStr">
        <is>
          <t>494-504</t>
        </is>
      </c>
      <c r="E121" s="5" t="inlineStr">
        <is>
          <t>Provide the correct Amount</t>
        </is>
      </c>
      <c r="F121" s="10" t="inlineStr">
        <is>
          <t xml:space="preserve">    MOVE WS-AMOUNT-AS-FLOAT TO SUBPGM-AMT.
    EXEC CICS LINK
       PROGRAM('XFRFUN')
       COMMAREA(SUBPGM-PARMS)
       RESP(WS-CICS-RESP)
       RESP2(WS-CICS-RESP2)
       SYNCONRETURN
    END-EXEC.
    IF WS-CICS-RESP NOT = DFHRESP(NORMAL)</t>
        </is>
      </c>
      <c r="G121" s="5" t="inlineStr">
        <is>
          <t>Decisão e falha</t>
        </is>
      </c>
      <c r="H121" s="5" t="inlineStr">
        <is>
          <t>IF, falha</t>
        </is>
      </c>
      <c r="I121" s="5" t="n"/>
      <c r="J121" s="19" t="n"/>
      <c r="K121" s="15" t="inlineStr">
        <is>
          <t>infraestrutura (excluída)</t>
        </is>
      </c>
      <c r="L121" s="15" t="inlineStr">
        <is>
          <t>Validado</t>
        </is>
      </c>
      <c r="M121" s="15" t="inlineStr">
        <is>
          <t>Chamada ao XFRFUN (LINK) com verificação do RESP. O comentário ('Provide the correct Amount') não corresponde ao conteúdo principal do trecho.</t>
        </is>
      </c>
      <c r="N121" s="5" t="n">
        <v>1</v>
      </c>
      <c r="O121" s="14" t="n"/>
      <c r="P121" s="14" t="n"/>
      <c r="Q121" s="2" t="n"/>
      <c r="R121" s="2" t="n"/>
      <c r="S121" s="2" t="n"/>
      <c r="T121" s="2" t="n"/>
      <c r="U121" s="2" t="n"/>
      <c r="V121" s="2" t="n"/>
      <c r="W121" s="2" t="n"/>
      <c r="X121" s="2" t="n"/>
      <c r="Y121" s="2" t="n"/>
      <c r="Z121" s="2" t="n"/>
    </row>
    <row r="122" hidden="1" s="16">
      <c r="A122" s="5" t="inlineStr">
        <is>
          <t>BNK1TFN-023</t>
        </is>
      </c>
      <c r="B122" s="5" t="inlineStr">
        <is>
          <t>BNK1TFN</t>
        </is>
      </c>
      <c r="C122" s="5" t="inlineStr">
        <is>
          <t>506-509</t>
        </is>
      </c>
      <c r="D122" s="5" t="inlineStr">
        <is>
          <t>511-513</t>
        </is>
      </c>
      <c r="E122" s="5" t="inlineStr">
        <is>
          <t>Preserve the RESP and RESP2, then set up the standard ABEND info before getting the applid, date/time etc. and linking to the Abend Handler program.</t>
        </is>
      </c>
      <c r="F122" s="10" t="inlineStr">
        <is>
          <t xml:space="preserve">       INITIALIZE ABNDINFO-REC
       MOVE EIBRESP    TO ABND-RESPCODE
       MOVE EIBRESP2   TO ABND-RESP2CODE</t>
        </is>
      </c>
      <c r="G122" s="5" t="inlineStr">
        <is>
          <t>Falha</t>
        </is>
      </c>
      <c r="H122" s="5" t="inlineStr">
        <is>
          <t>falha</t>
        </is>
      </c>
      <c r="I122" s="5" t="n"/>
      <c r="J122" s="19" t="n"/>
      <c r="K122" s="15" t="inlineStr">
        <is>
          <t>infraestrutura (excluída)</t>
        </is>
      </c>
      <c r="L122" s="15" t="inlineStr">
        <is>
          <t>Validado</t>
        </is>
      </c>
      <c r="M122" s="15" t="inlineStr">
        <is>
          <t>Montagem padrão das informações de ABEND (INITIALIZE ABNDINFO-REC; MOVE EIBRESP/EIBRESP2); tratamento técnico sem semântica bancária.</t>
        </is>
      </c>
      <c r="N122" s="5" t="n">
        <v>0</v>
      </c>
      <c r="O122" s="14" t="n"/>
      <c r="P122" s="14" t="n"/>
      <c r="Q122" s="2" t="n"/>
      <c r="R122" s="2" t="n"/>
      <c r="S122" s="2" t="n"/>
      <c r="T122" s="2" t="n"/>
      <c r="U122" s="2" t="n"/>
      <c r="V122" s="2" t="n"/>
      <c r="W122" s="2" t="n"/>
      <c r="X122" s="2" t="n"/>
      <c r="Y122" s="2" t="n"/>
      <c r="Z122" s="2" t="n"/>
    </row>
    <row r="123" s="16">
      <c r="A123" s="5" t="inlineStr">
        <is>
          <t>BNK1TFN-026</t>
        </is>
      </c>
      <c r="B123" s="5" t="inlineStr">
        <is>
          <t>BNK1TFN</t>
        </is>
      </c>
      <c r="C123" s="5" t="inlineStr">
        <is>
          <t>580-581</t>
        </is>
      </c>
      <c r="D123" s="5" t="inlineStr">
        <is>
          <t>582-640</t>
        </is>
      </c>
      <c r="E123" s="5" t="inlineStr">
        <is>
          <t>If an error was flagged by XFRFUN then set up an appropriate error message.</t>
        </is>
      </c>
      <c r="F123" s="10" t="inlineStr">
        <is>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t>
        </is>
      </c>
      <c r="G123" s="5" t="inlineStr">
        <is>
          <t>Decisão</t>
        </is>
      </c>
      <c r="H123" s="5" t="inlineStr">
        <is>
          <t>IF, EVALUATE, WHEN</t>
        </is>
      </c>
      <c r="I123" s="5" t="inlineStr">
        <is>
          <t>contém GO TO (desvio incondicional)</t>
        </is>
      </c>
      <c r="J123" s="15" t="inlineStr">
        <is>
          <t>1. Se a transferência não for bem-sucedida e o código de falha for '1', é exibida a mensagem de conta de origem não encontrada e transferência não aplicada.
2. Se a transferência não for bem-sucedida e o código de falha for '2', é exibida a mensagem de conta de destino não encontrada e transferência não aplicada.
3. Se a transferência não for bem-sucedida e o código de falha for '4', é exibida a mensagem 'Please supply an amount greater than zero.'
4. Se o indicador de sucesso da transferência for 'Y', é exibida a mensagem 'Transfer successfully applied.'</t>
        </is>
      </c>
      <c r="K123" s="15" t="inlineStr">
        <is>
          <t>regra de negócio</t>
        </is>
      </c>
      <c r="L123" s="15" t="inlineStr">
        <is>
          <t>Validado</t>
        </is>
      </c>
      <c r="M123" s="15" t="inlineStr">
        <is>
          <t>Linha vale por quatro regras. Foram retiradas as regras do código '3' (falha técnica), do WHEN OTHER (mensagem genérica) e da checagem SUBPGM-SUCCESS NOT = 'Y' (mensagem 'unable to determine success'), por serem tratamento de erro padrão, pelo mesmo critério da DBCRFUN-005 e da BNK1CRA-025. A regra 4 vem do ELSE do segundo IF. Defeito no código: o WHEN '3' não tem GO TO GCD999 (os demais têm); o fluxo segue para o segundo IF e, como SUBPGM-SUCCESS continua 'N', a mensagem 'unexpected error' é sobrescrita por 'unable to determine success'. Ponto 8 da reunião com o orientador: o defeito do WHEN '3' afeta só a regra do código '3', já retirada; as regras restantes não dependem dele.</t>
        </is>
      </c>
      <c r="N123" s="5" t="n">
        <v>8</v>
      </c>
      <c r="O123" s="14" t="n"/>
      <c r="P123" s="14" t="inlineStr">
        <is>
          <t>Incompleto</t>
        </is>
      </c>
      <c r="Q123" s="2" t="n"/>
      <c r="R123" s="2" t="n"/>
      <c r="S123" s="2" t="n"/>
      <c r="T123" s="2" t="n"/>
      <c r="U123" s="2" t="n"/>
      <c r="V123" s="2" t="n"/>
      <c r="W123" s="2" t="n"/>
      <c r="X123" s="2" t="n"/>
      <c r="Y123" s="2" t="n"/>
      <c r="Z123" s="2" t="n"/>
    </row>
    <row r="124" hidden="1" s="16">
      <c r="A124" s="5" t="inlineStr">
        <is>
          <t>BNK1TFN-028</t>
        </is>
      </c>
      <c r="B124" s="5" t="inlineStr">
        <is>
          <t>BNK1TFN</t>
        </is>
      </c>
      <c r="C124" s="5" t="inlineStr">
        <is>
          <t>665-669</t>
        </is>
      </c>
      <c r="D124" s="5" t="inlineStr">
        <is>
          <t>671-680</t>
        </is>
      </c>
      <c r="E124" s="5" t="inlineStr">
        <is>
          <t>Send/show the MAP If the map needs to have its data erased</t>
        </is>
      </c>
      <c r="F124" s="10" t="inlineStr">
        <is>
          <t xml:space="preserve">    IF SEND-ERASE
       EXEC CICS SEND MAP('BNK1TF')
          MAPSET('BNK1TFM')
          FROM(BNK1TFO)
          ERASE
          RESP(WS-CICS-RESP)
          RESP2(WS-CICS-RESP2)
       END-EXEC
       IF WS-CICS-RESP NOT = DFHRESP(NORMAL)</t>
        </is>
      </c>
      <c r="G124" s="5" t="inlineStr">
        <is>
          <t>Decisão e falha</t>
        </is>
      </c>
      <c r="H124" s="5" t="inlineStr">
        <is>
          <t>IF, falha</t>
        </is>
      </c>
      <c r="I124" s="5" t="n"/>
      <c r="J124" s="19" t="n"/>
      <c r="K124" s="15" t="inlineStr">
        <is>
          <t>infraestrutura (excluída)</t>
        </is>
      </c>
      <c r="L124" s="15" t="inlineStr">
        <is>
          <t>Validado</t>
        </is>
      </c>
      <c r="M124" s="15" t="inlineStr">
        <is>
          <t>Envio da tela com apagamento (SEND MAP ... ERASE) e verificação do RESP; infraestrutura de interface.</t>
        </is>
      </c>
      <c r="N124" s="5" t="n">
        <v>2</v>
      </c>
      <c r="O124" s="14" t="n"/>
      <c r="P124" s="14" t="n"/>
      <c r="Q124" s="2" t="n"/>
      <c r="R124" s="2" t="n"/>
      <c r="S124" s="2" t="n"/>
      <c r="T124" s="2" t="n"/>
      <c r="U124" s="2" t="n"/>
      <c r="V124" s="2" t="n"/>
      <c r="W124" s="2" t="n"/>
      <c r="X124" s="2" t="n"/>
      <c r="Y124" s="2" t="n"/>
      <c r="Z124" s="2" t="n"/>
    </row>
    <row r="125" hidden="1" s="16">
      <c r="A125" s="5" t="inlineStr">
        <is>
          <t>BNK1TFN-029</t>
        </is>
      </c>
      <c r="B125" s="5" t="inlineStr">
        <is>
          <t>BNK1TFN</t>
        </is>
      </c>
      <c r="C125" s="5" t="inlineStr">
        <is>
          <t>682-685</t>
        </is>
      </c>
      <c r="D125" s="5" t="inlineStr">
        <is>
          <t>687-689</t>
        </is>
      </c>
      <c r="E125" s="5" t="inlineStr">
        <is>
          <t>Preserve the RESP and RESP2, then set up the standard ABEND info before getting the applid, date/time etc. and linking to the Abend Handler program.</t>
        </is>
      </c>
      <c r="F125" s="10" t="inlineStr">
        <is>
          <t xml:space="preserve">          INITIALIZE ABNDINFO-REC
          MOVE EIBRESP    TO ABND-RESPCODE
          MOVE EIBRESP2   TO ABND-RESP2CODE</t>
        </is>
      </c>
      <c r="G125" s="5" t="inlineStr">
        <is>
          <t>Falha</t>
        </is>
      </c>
      <c r="H125" s="5" t="inlineStr">
        <is>
          <t>falha</t>
        </is>
      </c>
      <c r="I125" s="5" t="n"/>
      <c r="J125" s="19" t="n"/>
      <c r="K125" s="15" t="inlineStr">
        <is>
          <t>infraestrutura (excluída)</t>
        </is>
      </c>
      <c r="L125" s="15" t="inlineStr">
        <is>
          <t>Validado</t>
        </is>
      </c>
      <c r="M125" s="15" t="inlineStr">
        <is>
          <t>Montagem padrão das informações de ABEND (INITIALIZE ABNDINFO-REC; MOVE EIBRESP/EIBRESP2); tratamento técnico sem semântica bancária.</t>
        </is>
      </c>
      <c r="N125" s="5" t="n">
        <v>0</v>
      </c>
      <c r="O125" s="14" t="n"/>
      <c r="P125" s="14" t="n"/>
      <c r="Q125" s="2" t="n"/>
      <c r="R125" s="2" t="n"/>
      <c r="S125" s="2" t="n"/>
      <c r="T125" s="2" t="n"/>
      <c r="U125" s="2" t="n"/>
      <c r="V125" s="2" t="n"/>
      <c r="W125" s="2" t="n"/>
      <c r="X125" s="2" t="n"/>
      <c r="Y125" s="2" t="n"/>
      <c r="Z125" s="2" t="n"/>
    </row>
    <row r="126" hidden="1" s="16">
      <c r="A126" s="5" t="inlineStr">
        <is>
          <t>BNK1TFN-031</t>
        </is>
      </c>
      <c r="B126" s="5" t="inlineStr">
        <is>
          <t>BNK1TFN</t>
        </is>
      </c>
      <c r="C126" s="5" t="inlineStr">
        <is>
          <t>743</t>
        </is>
      </c>
      <c r="D126" s="5" t="inlineStr">
        <is>
          <t>745-754</t>
        </is>
      </c>
      <c r="E126" s="5" t="inlineStr">
        <is>
          <t>If the map just needs a resend of only the data</t>
        </is>
      </c>
      <c r="F126" s="10" t="inlineStr">
        <is>
          <t xml:space="preserve">    IF SEND-DATAONLY
       EXEC CICS SEND MAP('BNK1TF')
          MAPSET('BNK1TFM')
          FROM(BNK1TFO)
          DATAONLY
          RESP(WS-CICS-RESP)
          RESP2(WS-CICS-RESP2)
       END-EXEC
       IF WS-CICS-RESP NOT = DFHRESP(NORMAL)</t>
        </is>
      </c>
      <c r="G126" s="5" t="inlineStr">
        <is>
          <t>Decisão e falha</t>
        </is>
      </c>
      <c r="H126" s="5" t="inlineStr">
        <is>
          <t>IF, falha</t>
        </is>
      </c>
      <c r="I126" s="5" t="n"/>
      <c r="J126" s="19" t="n"/>
      <c r="K126" s="15" t="inlineStr">
        <is>
          <t>infraestrutura (excluída)</t>
        </is>
      </c>
      <c r="L126" s="15" t="inlineStr">
        <is>
          <t>Validado</t>
        </is>
      </c>
      <c r="M126" s="15" t="inlineStr">
        <is>
          <t>Reenvio apenas dos dados da tela (SEND MAP ... DATAONLY) e verificação do RESP; infraestrutura de interface.</t>
        </is>
      </c>
      <c r="N126" s="5" t="n">
        <v>2</v>
      </c>
      <c r="O126" s="14" t="n"/>
      <c r="P126" s="14" t="n"/>
      <c r="Q126" s="2" t="n"/>
      <c r="R126" s="2" t="n"/>
      <c r="S126" s="2" t="n"/>
      <c r="T126" s="2" t="n"/>
      <c r="U126" s="2" t="n"/>
      <c r="V126" s="2" t="n"/>
      <c r="W126" s="2" t="n"/>
      <c r="X126" s="2" t="n"/>
      <c r="Y126" s="2" t="n"/>
      <c r="Z126" s="2" t="n"/>
    </row>
    <row r="127" hidden="1" s="16">
      <c r="A127" s="5" t="inlineStr">
        <is>
          <t>BNK1TFN-032</t>
        </is>
      </c>
      <c r="B127" s="5" t="inlineStr">
        <is>
          <t>BNK1TFN</t>
        </is>
      </c>
      <c r="C127" s="5" t="inlineStr">
        <is>
          <t>756-759</t>
        </is>
      </c>
      <c r="D127" s="5" t="inlineStr">
        <is>
          <t>761-763</t>
        </is>
      </c>
      <c r="E127" s="5" t="inlineStr">
        <is>
          <t>Preserve the RESP and RESP2, then set up the standard ABEND info before getting the applid, date/time etc. and linking to the Abend Handler program.</t>
        </is>
      </c>
      <c r="F127" s="10" t="inlineStr">
        <is>
          <t xml:space="preserve">          INITIALIZE ABNDINFO-REC
          MOVE EIBRESP    TO ABND-RESPCODE
          MOVE EIBRESP2   TO ABND-RESP2CODE</t>
        </is>
      </c>
      <c r="G127" s="5" t="inlineStr">
        <is>
          <t>Falha</t>
        </is>
      </c>
      <c r="H127" s="5" t="inlineStr">
        <is>
          <t>falha</t>
        </is>
      </c>
      <c r="I127" s="5" t="n"/>
      <c r="J127" s="19" t="n"/>
      <c r="K127" s="15" t="inlineStr">
        <is>
          <t>infraestrutura (excluída)</t>
        </is>
      </c>
      <c r="L127" s="15" t="inlineStr">
        <is>
          <t>Validado</t>
        </is>
      </c>
      <c r="M127" s="15" t="inlineStr">
        <is>
          <t>Montagem padrão das informações de ABEND (INITIALIZE ABNDINFO-REC; MOVE EIBRESP/EIBRESP2); tratamento técnico sem semântica bancária.</t>
        </is>
      </c>
      <c r="N127" s="5" t="n">
        <v>0</v>
      </c>
      <c r="O127" s="14" t="n"/>
      <c r="P127" s="14" t="n"/>
      <c r="Q127" s="2" t="n"/>
      <c r="R127" s="2" t="n"/>
      <c r="S127" s="2" t="n"/>
      <c r="T127" s="2" t="n"/>
      <c r="U127" s="2" t="n"/>
      <c r="V127" s="2" t="n"/>
      <c r="W127" s="2" t="n"/>
      <c r="X127" s="2" t="n"/>
      <c r="Y127" s="2" t="n"/>
      <c r="Z127" s="2" t="n"/>
    </row>
    <row r="128" hidden="1" s="16">
      <c r="A128" s="5" t="inlineStr">
        <is>
          <t>BNK1TFN-034</t>
        </is>
      </c>
      <c r="B128" s="5" t="inlineStr">
        <is>
          <t>BNK1TFN</t>
        </is>
      </c>
      <c r="C128" s="5" t="inlineStr">
        <is>
          <t>817</t>
        </is>
      </c>
      <c r="D128" s="5" t="inlineStr">
        <is>
          <t>819-829</t>
        </is>
      </c>
      <c r="E128" s="5" t="inlineStr">
        <is>
          <t>If we have elected to send the map and a beep</t>
        </is>
      </c>
      <c r="F128" s="10" t="inlineStr">
        <is>
          <t xml:space="preserve">    IF SEND-DATAONLY-ALARM
       EXEC CICS SEND MAP('BNK1TF')
          MAPSET('BNK1TFM')
          FROM(BNK1TFO)
          DATAONLY
          ALARM
          RESP(WS-CICS-RESP)
          RESP2(WS-CICS-RESP2)
       END-EXEC
       IF WS-CICS-RESP NOT = DFHRESP(NORMAL)</t>
        </is>
      </c>
      <c r="G128" s="5" t="inlineStr">
        <is>
          <t>Decisão e falha</t>
        </is>
      </c>
      <c r="H128" s="5" t="inlineStr">
        <is>
          <t>IF, falha</t>
        </is>
      </c>
      <c r="I128" s="5" t="n"/>
      <c r="J128" s="19" t="n"/>
      <c r="K128" s="15" t="inlineStr">
        <is>
          <t>infraestrutura (excluída)</t>
        </is>
      </c>
      <c r="L128" s="15" t="inlineStr">
        <is>
          <t>Validado</t>
        </is>
      </c>
      <c r="M128" s="15" t="inlineStr">
        <is>
          <t>Envio da tela com alarme sonoro (SEND MAP ... ALARM) e verificação do RESP; infraestrutura de interface.</t>
        </is>
      </c>
      <c r="N128" s="5" t="n">
        <v>2</v>
      </c>
      <c r="O128" s="14" t="n"/>
      <c r="P128" s="14" t="n"/>
      <c r="Q128" s="2" t="n"/>
      <c r="R128" s="2" t="n"/>
      <c r="S128" s="2" t="n"/>
      <c r="T128" s="2" t="n"/>
      <c r="U128" s="2" t="n"/>
      <c r="V128" s="2" t="n"/>
      <c r="W128" s="2" t="n"/>
      <c r="X128" s="2" t="n"/>
      <c r="Y128" s="2" t="n"/>
      <c r="Z128" s="2" t="n"/>
    </row>
    <row r="129" hidden="1" s="16">
      <c r="A129" s="5" t="inlineStr">
        <is>
          <t>BNK1TFN-035</t>
        </is>
      </c>
      <c r="B129" s="5" t="inlineStr">
        <is>
          <t>BNK1TFN</t>
        </is>
      </c>
      <c r="C129" s="5" t="inlineStr">
        <is>
          <t>831-834</t>
        </is>
      </c>
      <c r="D129" s="5" t="inlineStr">
        <is>
          <t>836-838</t>
        </is>
      </c>
      <c r="E129" s="5" t="inlineStr">
        <is>
          <t>Preserve the RESP and RESP2, then set up the standard ABEND info before getting the applid, date/time etc. and linking to the Abend Handler program.</t>
        </is>
      </c>
      <c r="F129" s="10" t="inlineStr">
        <is>
          <t xml:space="preserve">          INITIALIZE ABNDINFO-REC
          MOVE EIBRESP    TO ABND-RESPCODE
          MOVE EIBRESP2   TO ABND-RESP2CODE</t>
        </is>
      </c>
      <c r="G129" s="5" t="inlineStr">
        <is>
          <t>Falha</t>
        </is>
      </c>
      <c r="H129" s="5" t="inlineStr">
        <is>
          <t>falha</t>
        </is>
      </c>
      <c r="I129" s="5" t="n"/>
      <c r="J129" s="19" t="n"/>
      <c r="K129" s="15" t="inlineStr">
        <is>
          <t>infraestrutura (excluída)</t>
        </is>
      </c>
      <c r="L129" s="15" t="inlineStr">
        <is>
          <t>Validado</t>
        </is>
      </c>
      <c r="M129" s="15" t="inlineStr">
        <is>
          <t>Montagem padrão das informações de ABEND (INITIALIZE ABNDINFO-REC; MOVE EIBRESP/EIBRESP2); tratamento técnico sem semântica bancária.</t>
        </is>
      </c>
      <c r="N129" s="5" t="n">
        <v>0</v>
      </c>
      <c r="O129" s="14" t="n"/>
      <c r="P129" s="14" t="n"/>
      <c r="Q129" s="2" t="n"/>
      <c r="R129" s="2" t="n"/>
      <c r="S129" s="2" t="n"/>
      <c r="T129" s="2" t="n"/>
      <c r="U129" s="2" t="n"/>
      <c r="V129" s="2" t="n"/>
      <c r="W129" s="2" t="n"/>
      <c r="X129" s="2" t="n"/>
      <c r="Y129" s="2" t="n"/>
      <c r="Z129" s="2" t="n"/>
    </row>
    <row r="130" hidden="1" s="16">
      <c r="A130" s="5" t="inlineStr">
        <is>
          <t>BNK1TFN-037</t>
        </is>
      </c>
      <c r="B130" s="5" t="inlineStr">
        <is>
          <t>BNK1TFN</t>
        </is>
      </c>
      <c r="C130" s="5" t="inlineStr">
        <is>
          <t>897</t>
        </is>
      </c>
      <c r="D130" s="5" t="inlineStr">
        <is>
          <t>899-907</t>
        </is>
      </c>
      <c r="E130" s="5" t="inlineStr">
        <is>
          <t>Send the termination message</t>
        </is>
      </c>
      <c r="F130" s="10" t="inlineStr">
        <is>
          <t xml:space="preserve">    EXEC CICS SEND TEXT
       FROM(END-OF-SESSION-MESSAGE)
       ERASE
       FREEKB
       RESP(WS-CICS-RESP)
       RESP2(WS-CICS-RESP2)
    END-EXEC.
    IF WS-CICS-RESP NOT = DFHRESP(NORMAL)</t>
        </is>
      </c>
      <c r="G130" s="5" t="inlineStr">
        <is>
          <t>Decisão e falha</t>
        </is>
      </c>
      <c r="H130" s="5" t="inlineStr">
        <is>
          <t>IF, falha</t>
        </is>
      </c>
      <c r="I130" s="5" t="n"/>
      <c r="J130" s="19" t="n"/>
      <c r="K130" s="15" t="inlineStr">
        <is>
          <t>infraestrutura (excluída)</t>
        </is>
      </c>
      <c r="L130" s="15" t="inlineStr">
        <is>
          <t>Validado</t>
        </is>
      </c>
      <c r="M130" s="15" t="inlineStr">
        <is>
          <t>Envio da mensagem de encerramento (SEND TEXT) e verificação do RESP; infraestrutura de interface.</t>
        </is>
      </c>
      <c r="N130" s="5" t="n">
        <v>1</v>
      </c>
      <c r="O130" s="14" t="n"/>
      <c r="P130" s="14" t="n"/>
      <c r="Q130" s="2" t="n"/>
      <c r="R130" s="2" t="n"/>
      <c r="S130" s="2" t="n"/>
      <c r="T130" s="2" t="n"/>
      <c r="U130" s="2" t="n"/>
      <c r="V130" s="2" t="n"/>
      <c r="W130" s="2" t="n"/>
      <c r="X130" s="2" t="n"/>
      <c r="Y130" s="2" t="n"/>
      <c r="Z130" s="2" t="n"/>
    </row>
    <row r="131" hidden="1" s="16">
      <c r="A131" s="5" t="inlineStr">
        <is>
          <t>BNK1TFN-038</t>
        </is>
      </c>
      <c r="B131" s="5" t="inlineStr">
        <is>
          <t>BNK1TFN</t>
        </is>
      </c>
      <c r="C131" s="5" t="inlineStr">
        <is>
          <t>909-912</t>
        </is>
      </c>
      <c r="D131" s="5" t="inlineStr">
        <is>
          <t>914-916</t>
        </is>
      </c>
      <c r="E131" s="5" t="inlineStr">
        <is>
          <t>Preserve the RESP and RESP2, then set up the standard ABEND info before getting the applid, date/time etc. and linking to the Abend Handler program.</t>
        </is>
      </c>
      <c r="F131" s="10" t="inlineStr">
        <is>
          <t xml:space="preserve">       INITIALIZE ABNDINFO-REC
       MOVE EIBRESP    TO ABND-RESPCODE
       MOVE EIBRESP2   TO ABND-RESP2CODE</t>
        </is>
      </c>
      <c r="G131" s="5" t="inlineStr">
        <is>
          <t>Falha</t>
        </is>
      </c>
      <c r="H131" s="5" t="inlineStr">
        <is>
          <t>falha</t>
        </is>
      </c>
      <c r="I131" s="5" t="n"/>
      <c r="J131" s="19" t="n"/>
      <c r="K131" s="15" t="inlineStr">
        <is>
          <t>infraestrutura (excluída)</t>
        </is>
      </c>
      <c r="L131" s="15" t="inlineStr">
        <is>
          <t>Validado</t>
        </is>
      </c>
      <c r="M131" s="15" t="inlineStr">
        <is>
          <t>Montagem padrão das informações de ABEND (INITIALIZE ABNDINFO-REC; MOVE EIBRESP/EIBRESP2); tratamento técnico sem semântica bancária.</t>
        </is>
      </c>
      <c r="N131" s="5" t="n">
        <v>0</v>
      </c>
      <c r="O131" s="14" t="n"/>
      <c r="P131" s="14" t="n"/>
      <c r="Q131" s="2" t="n"/>
      <c r="R131" s="2" t="n"/>
      <c r="S131" s="2" t="n"/>
      <c r="T131" s="2" t="n"/>
      <c r="U131" s="2" t="n"/>
      <c r="V131" s="2" t="n"/>
      <c r="W131" s="2" t="n"/>
      <c r="X131" s="2" t="n"/>
      <c r="Y131" s="2" t="n"/>
      <c r="Z131" s="2" t="n"/>
    </row>
    <row r="132" hidden="1" s="16">
      <c r="A132" s="5" t="inlineStr">
        <is>
          <t>BNK1TFN-040</t>
        </is>
      </c>
      <c r="B132" s="5" t="inlineStr">
        <is>
          <t>BNK1TFN</t>
        </is>
      </c>
      <c r="C132" s="5" t="inlineStr">
        <is>
          <t>973</t>
        </is>
      </c>
      <c r="D132" s="5" t="inlineStr">
        <is>
          <t>975-986</t>
        </is>
      </c>
      <c r="E132" s="5" t="inlineStr">
        <is>
          <t>Issue an abend</t>
        </is>
      </c>
      <c r="F132" s="10" t="inlineStr">
        <is>
          <t xml:space="preserve">    DISPLAY WS-FAIL-INFO.
    EXEC CICS ABEND
       ABCODE('HBNK')
       NODUMP
    END-EXEC.
ATT999.
    EXIT.
VALIDATE-AMOUNT SECTION.
VA010.</t>
        </is>
      </c>
      <c r="G132" s="5" t="inlineStr">
        <is>
          <t>Falha</t>
        </is>
      </c>
      <c r="H132" s="5" t="inlineStr">
        <is>
          <t>falha</t>
        </is>
      </c>
      <c r="I132" s="5" t="inlineStr">
        <is>
          <t>comentário curto</t>
        </is>
      </c>
      <c r="J132" s="19" t="n"/>
      <c r="K132" s="15" t="inlineStr">
        <is>
          <t>infraestrutura (excluída)</t>
        </is>
      </c>
      <c r="L132" s="15" t="inlineStr">
        <is>
          <t>Validado</t>
        </is>
      </c>
      <c r="M132" s="15" t="inlineStr">
        <is>
          <t>Exibição de WS-FAIL-INFO e ABEND 'HBNK'; tratamento técnico de falha.</t>
        </is>
      </c>
      <c r="N132" s="5" t="n">
        <v>0</v>
      </c>
      <c r="O132" s="14" t="n"/>
      <c r="P132" s="14" t="n"/>
      <c r="Q132" s="2" t="n"/>
      <c r="R132" s="2" t="n"/>
      <c r="S132" s="2" t="n"/>
      <c r="T132" s="2" t="n"/>
      <c r="U132" s="2" t="n"/>
      <c r="V132" s="2" t="n"/>
      <c r="W132" s="2" t="n"/>
      <c r="X132" s="2" t="n"/>
      <c r="Y132" s="2" t="n"/>
      <c r="Z132" s="2" t="n"/>
    </row>
    <row r="133" s="16">
      <c r="A133" s="5" t="inlineStr">
        <is>
          <t>BNK1TFN-041</t>
        </is>
      </c>
      <c r="B133" s="5" t="inlineStr">
        <is>
          <t>BNK1TFN</t>
        </is>
      </c>
      <c r="C133" s="5" t="inlineStr">
        <is>
          <t>988-989</t>
        </is>
      </c>
      <c r="D133" s="5" t="inlineStr">
        <is>
          <t>991-999</t>
        </is>
      </c>
      <c r="E133" s="5" t="inlineStr">
        <is>
          <t>Validate the amount entered. Is it greater than 0?</t>
        </is>
      </c>
      <c r="F133" s="10" t="inlineStr">
        <is>
          <t xml:space="preserve">    IF AMTL = ZERO
       MOVE 'The Amount entered must be numeric.' TO
          MESSAGEO
       MOVE 'N' TO VALID-DATA-SW
       MOVE -1 TO AMTL
       GO TO VA999
    END-IF
    IF AMTI(1:AMTL) IS NUMERIC</t>
        </is>
      </c>
      <c r="G133" s="5" t="inlineStr">
        <is>
          <t>Decisão</t>
        </is>
      </c>
      <c r="H133" s="5" t="inlineStr">
        <is>
          <t>IF</t>
        </is>
      </c>
      <c r="I133" s="5" t="inlineStr">
        <is>
          <t>contém GO TO (desvio incondicional)</t>
        </is>
      </c>
      <c r="J133" s="15" t="inlineStr">
        <is>
          <t>Se o campo de valor estiver vazio (comprimento zero), a entrada é considerada inválida e é exibida a mensagem 'The Amount entered must be numeric.'</t>
        </is>
      </c>
      <c r="K133" s="15" t="inlineStr">
        <is>
          <t>regra de negócio</t>
        </is>
      </c>
      <c r="L133" s="15" t="inlineStr">
        <is>
          <t>Validado</t>
        </is>
      </c>
      <c r="M133" s="15" t="inlineStr">
        <is>
          <t>O comentário pergunta 'Is it greater than 0?', mas o teste é de comprimento do campo (AMTL = ZERO). O trecho abre o IF AMTI IS NUMERIC, cuja consequência está na BNK1TFN-042.</t>
        </is>
      </c>
      <c r="N133" s="5" t="n">
        <v>2</v>
      </c>
      <c r="O133" s="14" t="n"/>
      <c r="P133" s="14" t="inlineStr">
        <is>
          <t>Sim</t>
        </is>
      </c>
      <c r="Q133" s="2" t="n"/>
      <c r="R133" s="2" t="n"/>
      <c r="S133" s="2" t="n"/>
      <c r="T133" s="2" t="n"/>
      <c r="U133" s="2" t="n"/>
      <c r="V133" s="2" t="n"/>
      <c r="W133" s="2" t="n"/>
      <c r="X133" s="2" t="n"/>
      <c r="Y133" s="2" t="n"/>
      <c r="Z133" s="2" t="n"/>
    </row>
    <row r="134" s="16">
      <c r="A134" s="5" t="inlineStr">
        <is>
          <t>BNK1TFN-042</t>
        </is>
      </c>
      <c r="B134" s="5" t="inlineStr">
        <is>
          <t>BNK1TFN</t>
        </is>
      </c>
      <c r="C134" s="5" t="inlineStr">
        <is>
          <t>1001</t>
        </is>
      </c>
      <c r="D134" s="5" t="inlineStr">
        <is>
          <t>1003-1021</t>
        </is>
      </c>
      <c r="E134" s="5" t="inlineStr">
        <is>
          <t>Is it a positive amount?</t>
        </is>
      </c>
      <c r="F134" s="10" t="inlineStr">
        <is>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is>
      </c>
      <c r="G134" s="5" t="inlineStr">
        <is>
          <t>Decisão</t>
        </is>
      </c>
      <c r="H134" s="5" t="inlineStr">
        <is>
          <t>IF</t>
        </is>
      </c>
      <c r="I134" s="5" t="inlineStr">
        <is>
          <t>contém GO TO (desvio incondicional)</t>
        </is>
      </c>
      <c r="J134" s="15" t="inlineStr">
        <is>
          <t>Se o valor informado for numérico e menor ou igual a zero, a entrada é considerada inválida e é exibida a mensagem 'Please supply a positive amount.'</t>
        </is>
      </c>
      <c r="K134" s="15" t="inlineStr">
        <is>
          <t>regra de negócio</t>
        </is>
      </c>
      <c r="L134" s="15" t="inlineStr">
        <is>
          <t>Validado</t>
        </is>
      </c>
      <c r="M134" s="15" t="inlineStr">
        <is>
          <t>Aplica-se só a valores inteiros (IS NUMERIC); valores com ponto decimal seguem o fluxo das BNK1TFN-043 a 048. Se o valor for numérico e maior que zero, a entrada é aceita; por ser o complemento da regra, a aceitação fica fora do gabarito, como no BNK1CRA.</t>
        </is>
      </c>
      <c r="N134" s="5" t="n">
        <v>1</v>
      </c>
      <c r="O134" s="14" t="n"/>
      <c r="P134" s="14" t="inlineStr">
        <is>
          <t>Não</t>
        </is>
      </c>
      <c r="Q134" s="2" t="n"/>
      <c r="R134" s="2" t="n"/>
      <c r="S134" s="2" t="n"/>
      <c r="T134" s="2" t="n"/>
      <c r="U134" s="2" t="n"/>
      <c r="V134" s="2" t="n"/>
      <c r="W134" s="2" t="n"/>
      <c r="X134" s="2" t="n"/>
      <c r="Y134" s="2" t="n"/>
      <c r="Z134" s="2" t="n"/>
    </row>
    <row r="135" s="16">
      <c r="A135" s="5" t="inlineStr">
        <is>
          <t>BNK1TFN-043</t>
        </is>
      </c>
      <c r="B135" s="5" t="inlineStr">
        <is>
          <t>BNK1TFN</t>
        </is>
      </c>
      <c r="C135" s="5" t="inlineStr">
        <is>
          <t>1024</t>
        </is>
      </c>
      <c r="D135" s="5" t="inlineStr">
        <is>
          <t>1026-1077</t>
        </is>
      </c>
      <c r="E135" s="5" t="inlineStr">
        <is>
          <t>Check if it is numeric</t>
        </is>
      </c>
      <c r="F135" s="10" t="inlineStr">
        <is>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t>
        </is>
      </c>
      <c r="G135" s="5" t="inlineStr">
        <is>
          <t>Decisão</t>
        </is>
      </c>
      <c r="H135" s="5" t="inlineStr">
        <is>
          <t>IF</t>
        </is>
      </c>
      <c r="I135" s="5" t="inlineStr">
        <is>
          <t>contém GO TO (desvio incondicional)</t>
        </is>
      </c>
      <c r="J135" s="15" t="inlineStr">
        <is>
          <t>Se o campo de valor for composto inteiramente de espaços, a entrada é considerada inválida e é exibida a mensagem 'The Amount entered must be numeric.'</t>
        </is>
      </c>
      <c r="K135" s="15" t="inlineStr">
        <is>
          <t>regra de negócio</t>
        </is>
      </c>
      <c r="L135" s="15" t="inlineStr">
        <is>
          <t>Validado</t>
        </is>
      </c>
      <c r="M135" s="15" t="inlineStr">
        <is>
          <t>O restante do trecho (UNSTRING, contagem de caracteres) é procedural e já aparece completo; linha [D] ignorada (depuração).</t>
        </is>
      </c>
      <c r="N135" s="5" t="n">
        <v>2</v>
      </c>
      <c r="O135" s="14" t="n"/>
      <c r="P135" s="14" t="inlineStr">
        <is>
          <t>Não</t>
        </is>
      </c>
      <c r="Q135" s="2" t="n"/>
      <c r="R135" s="2" t="n"/>
      <c r="S135" s="2" t="n"/>
      <c r="T135" s="2" t="n"/>
      <c r="U135" s="2" t="n"/>
      <c r="V135" s="2" t="n"/>
      <c r="W135" s="2" t="n"/>
      <c r="X135" s="2" t="n"/>
      <c r="Y135" s="2" t="n"/>
      <c r="Z135" s="2" t="n"/>
    </row>
    <row r="136" s="16">
      <c r="A136" s="5" t="inlineStr">
        <is>
          <t>BNK1TFN-044</t>
        </is>
      </c>
      <c r="B136" s="5" t="inlineStr">
        <is>
          <t>BNK1TFN</t>
        </is>
      </c>
      <c r="C136" s="5" t="inlineStr">
        <is>
          <t>1080-1081</t>
        </is>
      </c>
      <c r="D136" s="5" t="inlineStr">
        <is>
          <t>1083-1091</t>
        </is>
      </c>
      <c r="E136" s="5" t="inlineStr">
        <is>
          <t>We no longer support transferring negative amounts. Any - sign is a deal breaker!</t>
        </is>
      </c>
      <c r="F136" s="10" t="inlineStr">
        <is>
          <t xml:space="preserve">    IF WS-NUM-COUNT-MINUS &gt; 0
       MOVE SPACES TO MESSAGEO
       STRING 'Please supply a positive amount.'
          DELIMITED BY SIZE,
          INTO MESSAGEO
       MOVE 'N' TO VALID-DATA-SW
       MOVE -1 TO AMTL
       GO TO VA999
    END-IF.</t>
        </is>
      </c>
      <c r="G136" s="5" t="inlineStr">
        <is>
          <t>Decisão</t>
        </is>
      </c>
      <c r="H136" s="5" t="inlineStr">
        <is>
          <t>IF</t>
        </is>
      </c>
      <c r="I136" s="5" t="inlineStr">
        <is>
          <t>contém GO TO (desvio incondicional)</t>
        </is>
      </c>
      <c r="J136" s="15" t="inlineStr">
        <is>
          <t>Se o valor informado contiver sinal de menos, a entrada é considerada inválida e é exibida a mensagem 'Please supply a positive amount.'</t>
        </is>
      </c>
      <c r="K136" s="15" t="inlineStr">
        <is>
          <t>regra de negócio</t>
        </is>
      </c>
      <c r="L136" s="15" t="inlineStr">
        <is>
          <t>Validado</t>
        </is>
      </c>
      <c r="M136" s="15" t="inlineStr">
        <is>
          <t>Diferente do BNK1CRA, que aceita sinal '-' e trata como débito: a transferência não admite valor negativo.</t>
        </is>
      </c>
      <c r="N136" s="5" t="n">
        <v>1</v>
      </c>
      <c r="O136" s="14" t="n"/>
      <c r="P136" s="14" t="inlineStr">
        <is>
          <t>Não</t>
        </is>
      </c>
      <c r="Q136" s="2" t="n"/>
      <c r="R136" s="2" t="n"/>
      <c r="S136" s="2" t="n"/>
      <c r="T136" s="2" t="n"/>
      <c r="U136" s="2" t="n"/>
      <c r="V136" s="2" t="n"/>
      <c r="W136" s="2" t="n"/>
      <c r="X136" s="2" t="n"/>
      <c r="Y136" s="2" t="n"/>
      <c r="Z136" s="2" t="n"/>
    </row>
    <row r="137" s="16">
      <c r="A137" s="5" t="inlineStr">
        <is>
          <t>BNK1TFN-045</t>
        </is>
      </c>
      <c r="B137" s="5" t="inlineStr">
        <is>
          <t>BNK1TFN</t>
        </is>
      </c>
      <c r="C137" s="5" t="inlineStr">
        <is>
          <t>1094-1098</t>
        </is>
      </c>
      <c r="D137" s="5" t="inlineStr">
        <is>
          <t>1100-1120</t>
        </is>
      </c>
      <c r="E137" s="5" t="inlineStr">
        <is>
          <t>The idea here is that if there is a decimal point, the field is not numeric. But if it is 1.1 then it is valid. So first of all we check to see that only the above chars are OK. We DO NOT tolerate embedded spaces too.</t>
        </is>
      </c>
      <c r="F137" s="10" t="inlineStr">
        <is>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is>
      </c>
      <c r="G137" s="5" t="inlineStr">
        <is>
          <t>Decisão</t>
        </is>
      </c>
      <c r="H137" s="5" t="inlineStr">
        <is>
          <t>IF</t>
        </is>
      </c>
      <c r="I137" s="5" t="inlineStr">
        <is>
          <t>contém GO TO (desvio incondicional)</t>
        </is>
      </c>
      <c r="J137" s="15" t="inlineStr">
        <is>
          <t>1. Se o valor informado contiver espaços embutidos, a entrada é considerada inválida e é exibida a mensagem 'Please supply a numeric amount without embedded spaces.'
2. Se o valor informado contiver caracteres diferentes de dígitos e ponto decimal, a entrada é considerada inválida e é exibida a mensagem 'Please supply a numeric amount.'</t>
        </is>
      </c>
      <c r="K137" s="15" t="inlineStr">
        <is>
          <t>regra de negócio</t>
        </is>
      </c>
      <c r="L137" s="15" t="inlineStr">
        <is>
          <t>Validado</t>
        </is>
      </c>
      <c r="M137" s="15" t="inlineStr">
        <is>
          <t>Diferente da BNK1CRA-040: aqui a mensagem é exibida completa.</t>
        </is>
      </c>
      <c r="N137" s="5" t="n">
        <v>2</v>
      </c>
      <c r="O137" s="14" t="n"/>
      <c r="P137" s="14" t="inlineStr">
        <is>
          <t>Não</t>
        </is>
      </c>
      <c r="Q137" s="2" t="n"/>
      <c r="R137" s="2" t="n"/>
      <c r="S137" s="2" t="n"/>
      <c r="T137" s="2" t="n"/>
      <c r="U137" s="2" t="n"/>
      <c r="V137" s="2" t="n"/>
      <c r="W137" s="2" t="n"/>
      <c r="X137" s="2" t="n"/>
      <c r="Y137" s="2" t="n"/>
      <c r="Z137" s="2" t="n"/>
    </row>
    <row r="138" s="16">
      <c r="A138" s="5" t="inlineStr">
        <is>
          <t>BNK1TFN-046</t>
        </is>
      </c>
      <c r="B138" s="5" t="inlineStr">
        <is>
          <t>BNK1TFN</t>
        </is>
      </c>
      <c r="C138" s="5" t="inlineStr">
        <is>
          <t>1123</t>
        </is>
      </c>
      <c r="D138" s="5" t="inlineStr">
        <is>
          <t>1125-1138</t>
        </is>
      </c>
      <c r="E138" s="5" t="inlineStr">
        <is>
          <t>Check to make sure we only have 0 to 1 decimal points</t>
        </is>
      </c>
      <c r="F138" s="10" t="inlineStr">
        <is>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is>
      </c>
      <c r="G138" s="5" t="inlineStr">
        <is>
          <t>Decisão</t>
        </is>
      </c>
      <c r="H138" s="5" t="inlineStr">
        <is>
          <t>IF</t>
        </is>
      </c>
      <c r="I138" s="5" t="inlineStr">
        <is>
          <t>contém GO TO (desvio incondicional)</t>
        </is>
      </c>
      <c r="J138" s="15" t="inlineStr">
        <is>
          <t>Se o valor informado contiver mais de um ponto decimal, a entrada é considerada inválida e é exibida a mensagem 'Use one decimal point for amount only.'</t>
        </is>
      </c>
      <c r="K138" s="15" t="inlineStr">
        <is>
          <t>regra de negócio</t>
        </is>
      </c>
      <c r="L138" s="15" t="inlineStr">
        <is>
          <t>Validado</t>
        </is>
      </c>
      <c r="M138" s="15" t="inlineStr">
        <is>
          <t>Equivalente à BNK1CRA-041.</t>
        </is>
      </c>
      <c r="N138" s="5" t="n">
        <v>1</v>
      </c>
      <c r="O138" s="14" t="n"/>
      <c r="P138" s="14" t="inlineStr">
        <is>
          <t>Não</t>
        </is>
      </c>
      <c r="Q138" s="2" t="n"/>
      <c r="R138" s="2" t="n"/>
      <c r="S138" s="2" t="n"/>
      <c r="T138" s="2" t="n"/>
      <c r="U138" s="2" t="n"/>
      <c r="V138" s="2" t="n"/>
      <c r="W138" s="2" t="n"/>
      <c r="X138" s="2" t="n"/>
      <c r="Y138" s="2" t="n"/>
      <c r="Z138" s="2" t="n"/>
    </row>
    <row r="139" s="16">
      <c r="A139" s="5" t="inlineStr">
        <is>
          <t>BNK1TFN-047</t>
        </is>
      </c>
      <c r="B139" s="5" t="inlineStr">
        <is>
          <t>BNK1TFN</t>
        </is>
      </c>
      <c r="C139" s="5" t="inlineStr">
        <is>
          <t>1140</t>
        </is>
      </c>
      <c r="D139" s="5" t="inlineStr">
        <is>
          <t>1142-1171</t>
        </is>
      </c>
      <c r="E139" s="5" t="inlineStr">
        <is>
          <t>Check to see if we have too many decimals!</t>
        </is>
      </c>
      <c r="F139" s="10" t="inlineStr">
        <is>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is>
      </c>
      <c r="G139" s="5" t="inlineStr">
        <is>
          <t>Decisão</t>
        </is>
      </c>
      <c r="H139" s="5" t="inlineStr">
        <is>
          <t>IF</t>
        </is>
      </c>
      <c r="I139" s="5" t="n"/>
      <c r="J139" s="15" t="inlineStr">
        <is>
          <t>Se o valor informado tiver mais de duas casas decimais, a entrada é considerada inválida e é exibida a mensagem 'Only up to two decimal places are supported.'</t>
        </is>
      </c>
      <c r="K139" s="15" t="inlineStr">
        <is>
          <t>regra de negócio</t>
        </is>
      </c>
      <c r="L139" s="15" t="inlineStr">
        <is>
          <t>Validado</t>
        </is>
      </c>
      <c r="M139" s="15" t="inlineStr">
        <is>
          <t>A condição está nesta linha (IF aninhado); a mensagem e a consequência estão na BNK1TFN-048. Linhas [D] ignoradas (depuração). Equivalente à BNK1CRA-042.</t>
        </is>
      </c>
      <c r="N139" s="5" t="n">
        <v>3</v>
      </c>
      <c r="O139" s="14" t="n"/>
      <c r="P139" s="14" t="inlineStr">
        <is>
          <t>Não</t>
        </is>
      </c>
      <c r="Q139" s="2" t="n"/>
      <c r="R139" s="2" t="n"/>
      <c r="S139" s="2" t="n"/>
      <c r="T139" s="2" t="n"/>
      <c r="U139" s="2" t="n"/>
      <c r="V139" s="2" t="n"/>
      <c r="W139" s="2" t="n"/>
      <c r="X139" s="2" t="n"/>
      <c r="Y139" s="2" t="n"/>
      <c r="Z139" s="2" t="n"/>
    </row>
    <row r="140" s="16">
      <c r="A140" s="5" t="inlineStr">
        <is>
          <t>BNK1TFN-048</t>
        </is>
      </c>
      <c r="B140" s="5" t="inlineStr">
        <is>
          <t>BNK1TFN</t>
        </is>
      </c>
      <c r="C140" s="5" t="inlineStr">
        <is>
          <t>1173</t>
        </is>
      </c>
      <c r="D140" s="5" t="inlineStr">
        <is>
          <t>1175-1208</t>
        </is>
      </c>
      <c r="E140" s="5" t="inlineStr">
        <is>
          <t>More than two of them are numeric</t>
        </is>
      </c>
      <c r="F140" s="10" t="inlineStr">
        <is>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is>
      </c>
      <c r="G140" s="5" t="inlineStr">
        <is>
          <t>Decisão</t>
        </is>
      </c>
      <c r="H140" s="5" t="inlineStr">
        <is>
          <t>IF</t>
        </is>
      </c>
      <c r="I140" s="5" t="inlineStr">
        <is>
          <t>contém GO TO (desvio incondicional)</t>
        </is>
      </c>
      <c r="J140" s="19" t="n"/>
      <c r="K140" s="19" t="inlineStr">
        <is>
          <t>sem comentário próprio (excluída)</t>
        </is>
      </c>
      <c r="L140" s="15" t="inlineStr">
        <is>
          <t>Validado</t>
        </is>
      </c>
      <c r="M140" s="19" t="inlineStr">
        <is>
          <t>Decisão do ponto 5 da pauta: a regra deste trecho não é descrita por nenhum comentário (caiu neste par porque o extrator vai até o próximo comentário) e foi retirada do gabarito. Regra redigida antes da decisão: Se o valor numérico informado for igual a zero, a entrada é considerada inválida e é exibida a mensagem 'Please supply a non-zero amount.' As linhas iniciais (1175-1188) são a consequência da regra da BNK1TFN-047. O trecho também define a entrada como válida (VALID-DATA-SW = 'Y') quando todas as validações passam. O comentário 'More than two of them are numeric' descreve a contagem de dígitos após o ponto. Equivalente à BNK1CRA-043.</t>
        </is>
      </c>
      <c r="N140" s="5" t="n">
        <v>1</v>
      </c>
      <c r="O140" s="14" t="n"/>
      <c r="P140" s="14" t="n"/>
      <c r="Q140" s="2" t="n"/>
      <c r="R140" s="2" t="n"/>
      <c r="S140" s="2" t="n"/>
      <c r="T140" s="2" t="n"/>
      <c r="U140" s="2" t="n"/>
      <c r="V140" s="2" t="n"/>
      <c r="W140" s="2" t="n"/>
      <c r="X140" s="2" t="n"/>
      <c r="Y140" s="2" t="n"/>
      <c r="Z140" s="2" t="n"/>
    </row>
    <row r="141" hidden="1" s="16">
      <c r="A141" s="5" t="inlineStr">
        <is>
          <t>DBCRFUN-010</t>
        </is>
      </c>
      <c r="B141" s="5" t="inlineStr">
        <is>
          <t>DBCRFUN</t>
        </is>
      </c>
      <c r="C141" s="5" t="inlineStr">
        <is>
          <t>380-382</t>
        </is>
      </c>
      <c r="D141" s="5" t="inlineStr">
        <is>
          <t>384-387</t>
        </is>
      </c>
      <c r="E141" s="5" t="inlineStr">
        <is>
          <t>If the SQLCODE from the SELECT is OK then update the record and update the details on the PROCTRAN (Processed transaction) datastore.</t>
        </is>
      </c>
      <c r="F141" s="10" t="inlineStr">
        <is>
          <t xml:space="preserve">    COMPUTE HV-ACCOUNT-AVAIL-BAL =
       HV-ACCOUNT-AVAIL-BAL + COMM-AMT.
    COMPUTE HV-ACCOUNT-ACTUAL-BAL =
       HV-ACCOUNT-ACTUAL-BAL + COMM-AMT.</t>
        </is>
      </c>
      <c r="G141" s="5" t="inlineStr">
        <is>
          <t>Reincluído</t>
        </is>
      </c>
      <c r="H141" s="5" t="inlineStr">
        <is>
          <t>procedural</t>
        </is>
      </c>
      <c r="I141" s="5" t="n"/>
      <c r="J141" s="15" t="inlineStr">
        <is>
          <t>Se a leitura da conta for bem-sucedida e a solicitação não for negada pelas verificações anteriores, o valor da operação (negativo no débito, positivo no crédito) é somado ao saldo disponível e ao saldo atual da conta.</t>
        </is>
      </c>
      <c r="K141" s="15" t="inlineStr">
        <is>
          <t>regra de negócio</t>
        </is>
      </c>
      <c r="L141" s="15" t="inlineStr">
        <is>
          <t>Validado</t>
        </is>
      </c>
      <c r="M141" s="15" t="inlineStr">
        <is>
          <t>Reincluída da aba Descartados (motivo do descarte: procedural, sem decisão nem tratamento de falha). O comentário fala em 'SQLCODE do SELECT OK', mas o código não contém IF: a condição é implícita, pois só se chega a este ponto se a leitura da conta foi bem-sucedida (DBCRFUN-005) e se a solicitação não foi negada pelas regras de MORTGAGE/LOAN e de saldo insuficiente (DBCRFUN-008 e 009). Regra de cálculo; sem ela o gabarito não registra a atualização de saldo em si.</t>
        </is>
      </c>
      <c r="N141" s="5" t="n"/>
      <c r="O141" s="14" t="n"/>
      <c r="P141" s="14" t="inlineStr">
        <is>
          <t>Incompleto</t>
        </is>
      </c>
      <c r="Q141" s="2" t="n"/>
      <c r="R141" s="2" t="n"/>
      <c r="S141" s="2" t="n"/>
      <c r="T141" s="2" t="n"/>
      <c r="U141" s="2" t="n"/>
      <c r="V141" s="2" t="n"/>
      <c r="W141" s="2" t="n"/>
      <c r="X141" s="2" t="n"/>
      <c r="Y141" s="2" t="n"/>
      <c r="Z141" s="2" t="n"/>
    </row>
    <row r="142" hidden="1" s="16">
      <c r="A142" s="5" t="inlineStr">
        <is>
          <t>DBCRFUN-015</t>
        </is>
      </c>
      <c r="B142" s="5" t="inlineStr">
        <is>
          <t>DBCRFUN</t>
        </is>
      </c>
      <c r="C142" s="5" t="inlineStr">
        <is>
          <t>438-439</t>
        </is>
      </c>
      <c r="D142" s="5" t="inlineStr">
        <is>
          <t>441-448</t>
        </is>
      </c>
      <c r="E142" s="5" t="inlineStr">
        <is>
          <t>If the RESP CODE was normal then we need to write to the PROCTRAN (processed transaction) datastore.</t>
        </is>
      </c>
      <c r="F142" s="10" t="inlineStr">
        <is>
          <t xml:space="preserve">    PERFORM WRITE-TO-PROCTRAN.
UAD999.
    EXIT.
WRITE-TO-PROCTRAN SECTION.
WTP010.</t>
        </is>
      </c>
      <c r="G142" s="5" t="inlineStr">
        <is>
          <t>Reincluído</t>
        </is>
      </c>
      <c r="H142" s="5" t="inlineStr">
        <is>
          <t>procedural</t>
        </is>
      </c>
      <c r="I142" s="5" t="n"/>
      <c r="J142" s="19" t="n"/>
      <c r="K142" s="19" t="inlineStr">
        <is>
          <t>infraestrutura (excluída)</t>
        </is>
      </c>
      <c r="L142" s="15" t="inlineStr">
        <is>
          <t>Validado</t>
        </is>
      </c>
      <c r="M142" s="19" t="inlineStr">
        <is>
          <t>Decisão da reunião com o orientador (ponto 3): a gravação em PROCTRAN é infraestrutura. Regra redigida antes da decisão: Se a atualização da conta for bem-sucedida, o registro da transação é gravado em PROCTRAN. Reincluída da aba Descartados (motivo do descarte: procedural, sem decisão nem tratamento de falha). A condição é implícita: este ponto só é alcançado se o IF SQLCODE NOT = 0 da DBCRFUN-013 não for satisfeito (a falha sai por GO TO UAD999). O trecho extraído inclui o fim da seção (UAD999 EXIT) e o início de WRITE-TO-PROCTRAN, por corte do extrator; ambos ficam fora da regra. O detalhe da gravação está na DBCRFUN-016 (Descartados, mantida descartada para não duplicar a regra).</t>
        </is>
      </c>
      <c r="N142" s="5" t="n"/>
      <c r="O142" s="14" t="n"/>
      <c r="P142" s="14" t="n"/>
      <c r="Q142" s="2" t="n"/>
      <c r="R142" s="2" t="n"/>
      <c r="S142" s="2" t="n"/>
      <c r="T142" s="2" t="n"/>
      <c r="U142" s="2" t="n"/>
      <c r="V142" s="2" t="n"/>
      <c r="W142" s="2" t="n"/>
      <c r="X142" s="2" t="n"/>
      <c r="Y142" s="2" t="n"/>
      <c r="Z142" s="2" t="n"/>
    </row>
    <row r="143" hidden="1" s="16">
      <c r="A143" s="5" t="inlineStr">
        <is>
          <t>XFRFUN-032</t>
        </is>
      </c>
      <c r="B143" s="5" t="inlineStr">
        <is>
          <t>XFRFUN</t>
        </is>
      </c>
      <c r="C143" s="5" t="inlineStr">
        <is>
          <t>907-909</t>
        </is>
      </c>
      <c r="D143" s="5" t="inlineStr">
        <is>
          <t>911-913</t>
        </is>
      </c>
      <c r="E143" s="5" t="inlineStr">
        <is>
          <t>If the updates to the TO and FROM accounts were successful then we need to write to PROCTRAN (processed transaction) to record the successful transfer.</t>
        </is>
      </c>
      <c r="F143" s="10" t="inlineStr">
        <is>
          <t xml:space="preserve">    PERFORM WRITE-TO-PROCTRAN.
    MOVE 'Y' TO COMM-SUCCESS.</t>
        </is>
      </c>
      <c r="G143" s="5" t="inlineStr">
        <is>
          <t>Reincluído</t>
        </is>
      </c>
      <c r="H143" s="5" t="inlineStr">
        <is>
          <t>procedural</t>
        </is>
      </c>
      <c r="I143" s="5" t="n"/>
      <c r="J143" s="19" t="n"/>
      <c r="K143" s="19" t="inlineStr">
        <is>
          <t>infraestrutura (excluída)</t>
        </is>
      </c>
      <c r="L143" s="15" t="inlineStr">
        <is>
          <t>Validado</t>
        </is>
      </c>
      <c r="M143" s="19" t="inlineStr">
        <is>
          <t>Decisão da reunião com o orientador (ponto 3): gravação em PROCTRAN e sinalização de sucesso são detalhe operacional de infraestrutura. Critério definido com o orientador: regra de negócio é o que a área de negócio (gerente ou cliente do banco) entende; detalhe de código fica fora. Regra redigida antes da decisão: 1. Se as atualizações das contas de origem e de destino forem bem-sucedidas, o registro da transação é gravado em PROCTRAN. 2. Ao final, a transferência é sinalizada como bem-sucedida (COMM-SUCCESS igual a 'Y'). Reincluída da aba Descartados (motivo do descarte: procedural, sem decisão nem tratamento de falha). O comentário condiciona a gravação ao sucesso das duas atualizações, mas o código não contém IF: a condição é implícita, pois as falhas anteriores saem do parágrafo (por exemplo, GO TO UAD999 na linha 898). Pelo critério proposto de infraestrutura, a decisão de registrar a transferência concluída é regra de negócio, e a execução da gravação e a montagem do registro (XFRFUN-059) ficam fora do gabarito. Mesmo padrão do DBCRFUN-015 e 026. Critério a levar ao orientador.</t>
        </is>
      </c>
      <c r="N143" s="5" t="n"/>
      <c r="O143" s="14" t="n"/>
      <c r="P143" s="14" t="n"/>
      <c r="Q143" s="2" t="n"/>
      <c r="R143" s="2" t="n"/>
      <c r="S143" s="2" t="n"/>
      <c r="T143" s="2" t="n"/>
      <c r="U143" s="2" t="n"/>
      <c r="V143" s="2" t="n"/>
      <c r="W143" s="2" t="n"/>
      <c r="X143" s="2" t="n"/>
      <c r="Y143" s="2" t="n"/>
      <c r="Z143" s="2" t="n"/>
    </row>
    <row r="144" hidden="1" s="16">
      <c r="A144" s="5" t="inlineStr">
        <is>
          <t>XFRFUN-036</t>
        </is>
      </c>
      <c r="B144" s="5" t="inlineStr">
        <is>
          <t>XFRFUN</t>
        </is>
      </c>
      <c r="C144" s="5" t="inlineStr">
        <is>
          <t>983-984</t>
        </is>
      </c>
      <c r="D144" s="5" t="inlineStr">
        <is>
          <t>986-990</t>
        </is>
      </c>
      <c r="E144" s="5" t="inlineStr">
        <is>
          <t>If the SQLCODE is OK then update the row on ACCOUNT for the FROM account.</t>
        </is>
      </c>
      <c r="F144" s="10" t="inlineStr">
        <is>
          <t xml:space="preserve">    COMPUTE HV-ACCOUNT-AVAIL-BAL =
    HV-ACCOUNT-AVAIL-BAL - COMM-AMT.
    COMPUTE HV-ACCOUNT-ACTUAL-BAL =
    HV-ACCOUNT-ACTUAL-BAL - COMM-AMT.</t>
        </is>
      </c>
      <c r="G144" s="5" t="inlineStr">
        <is>
          <t>Reincluído</t>
        </is>
      </c>
      <c r="H144" s="5" t="inlineStr">
        <is>
          <t>procedural</t>
        </is>
      </c>
      <c r="I144" s="5" t="n"/>
      <c r="J144" s="15" t="inlineStr">
        <is>
          <t>Se a leitura da conta de origem for bem-sucedida, o valor da transferência é subtraído do saldo disponível e do saldo atual da conta de origem.</t>
        </is>
      </c>
      <c r="K144" s="15" t="inlineStr">
        <is>
          <t>regra de negócio</t>
        </is>
      </c>
      <c r="L144" s="15" t="inlineStr">
        <is>
          <t>Validado</t>
        </is>
      </c>
      <c r="M144" s="15" t="inlineStr">
        <is>
          <t>Reincluída da aba Descartados (motivo do descarte: procedural, sem decisão nem tratamento de falha). O comentário fala em 'SQLCODE OK', mas o código não contém IF: a condição é implícita, pois só se chega a este ponto se a leitura da conta de origem foi bem-sucedida (a falha sai por GO TO UADF999, linha 978). Regra de cálculo; o UPDATE seguinte (até a linha 1008) é acesso a dados e fica fora do gabarito. O trecho exibido contém só o cálculo.</t>
        </is>
      </c>
      <c r="N144" s="5" t="n"/>
      <c r="O144" s="14" t="n"/>
      <c r="P144" s="14" t="inlineStr">
        <is>
          <t>Não</t>
        </is>
      </c>
      <c r="Q144" s="2" t="n"/>
      <c r="R144" s="2" t="n"/>
      <c r="S144" s="2" t="n"/>
      <c r="T144" s="2" t="n"/>
      <c r="U144" s="2" t="n"/>
      <c r="V144" s="2" t="n"/>
      <c r="W144" s="2" t="n"/>
      <c r="X144" s="2" t="n"/>
      <c r="Y144" s="2" t="n"/>
      <c r="Z144" s="2" t="n"/>
    </row>
    <row r="145" hidden="1" s="16">
      <c r="A145" s="5" t="inlineStr">
        <is>
          <t>XFRFUN-051</t>
        </is>
      </c>
      <c r="B145" s="5" t="inlineStr">
        <is>
          <t>XFRFUN</t>
        </is>
      </c>
      <c r="C145" s="5" t="inlineStr">
        <is>
          <t>1354-1355</t>
        </is>
      </c>
      <c r="D145" s="5" t="inlineStr">
        <is>
          <t>1357-1360</t>
        </is>
      </c>
      <c r="E145" s="5" t="inlineStr">
        <is>
          <t>If the SELECT was successful, then amend the account balances and UPDATE the row back onto the ACCOUNT table.</t>
        </is>
      </c>
      <c r="F145" s="10" t="inlineStr">
        <is>
          <t xml:space="preserve">    COMPUTE HV-ACCOUNT-AVAIL-BAL = HV-ACCOUNT-AVAIL-BAL +
            COMM-AMT.
    COMPUTE HV-ACCOUNT-ACTUAL-BAL = HV-ACCOUNT-ACTUAL-BAL +
            COMM-AMT.</t>
        </is>
      </c>
      <c r="G145" s="5" t="inlineStr">
        <is>
          <t>Reincluído</t>
        </is>
      </c>
      <c r="H145" s="5" t="inlineStr">
        <is>
          <t>procedural</t>
        </is>
      </c>
      <c r="I145" s="5" t="n"/>
      <c r="J145" s="15" t="inlineStr">
        <is>
          <t>Se a leitura da conta de destino for bem-sucedida, o valor da transferência é somado ao saldo disponível e ao saldo atual da conta de destino.</t>
        </is>
      </c>
      <c r="K145" s="15" t="inlineStr">
        <is>
          <t>regra de negócio</t>
        </is>
      </c>
      <c r="L145" s="15" t="inlineStr">
        <is>
          <t>Validado</t>
        </is>
      </c>
      <c r="M145" s="15" t="inlineStr">
        <is>
          <t>Reincluída da aba Descartados (motivo do descarte: procedural, sem decisão nem tratamento de falha). O comentário fala em 'SELECT bem-sucedido', mas o código não contém IF: a condição é implícita, pois a falha anterior termina em ABEND 'RUF2' (linhas 1345-1347). Regra de cálculo; o UPDATE seguinte (linhas 1362-1378) é acesso a dados e fica fora do gabarito. O trecho exibido contém só o cálculo.</t>
        </is>
      </c>
      <c r="N145" s="5" t="n"/>
      <c r="O145" s="14" t="n"/>
      <c r="P145" s="14" t="inlineStr">
        <is>
          <t>Não</t>
        </is>
      </c>
      <c r="Q145" s="2" t="n"/>
      <c r="R145" s="2" t="n"/>
      <c r="S145" s="2" t="n"/>
      <c r="T145" s="2" t="n"/>
      <c r="U145" s="2" t="n"/>
      <c r="V145" s="2" t="n"/>
      <c r="W145" s="2" t="n"/>
      <c r="X145" s="2" t="n"/>
      <c r="Y145" s="2" t="n"/>
      <c r="Z145" s="2" t="n"/>
    </row>
    <row r="146" s="1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s="1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s="1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s="1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s="1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s="1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s="1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s="1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s="1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s="1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s="1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s="1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s="1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s="1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s="1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s="1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s="1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s="1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s="1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s="1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s="1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s="1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s="1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s="1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s="1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s="1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s="1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s="1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s="1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s="1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s="1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s="1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s="1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s="1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s="1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s="1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s="1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s="1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s="1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s="1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s="1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s="1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s="1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s="1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s="1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s="1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s="1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s="1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s="1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s="1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s="1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s="1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s="1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s="1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s="1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s="1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s="1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s="1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s="1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s="1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s="1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s="1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s="1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s="1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s="1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s="1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s="1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s="1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s="1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s="1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s="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s="1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s="1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s="1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s="1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s="1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s="1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s="1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s="1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s="1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s="1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s="1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s="1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s="1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s="1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s="1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s="1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s="1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s="1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s="1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s="1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s="1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s="1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s="1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s="1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s="1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s="1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s="1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s="1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s="1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s="1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s="1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s="1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s="1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s="1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s="1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s="1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s="1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s="1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s="1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s="1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s="1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s="1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s="1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s="1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s="1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s="1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s="1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s="1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s="1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s="1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s="1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s="1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s="1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s="1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s="1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s="1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s="1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s="1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s="1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s="1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s="1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s="1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s="1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s="1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s="1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s="1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s="1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s="1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s="1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s="1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s="1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s="1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s="1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s="1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s="1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s="1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s="1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s="1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s="1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s="1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s="1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s="1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s="1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s="1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s="1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s="1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s="1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s="1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s="1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s="1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s="1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s="1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s="1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s="1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s="1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s="1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s="1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s="1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s="1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s="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s="1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s="1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s="1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s="1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s="1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s="1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s="1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s="1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s="1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s="1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s="1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s="1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s="1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s="1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s="1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s="1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s="1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s="1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s="1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s="1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s="1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s="1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s="1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s="1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s="1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s="1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s="1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s="1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s="1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s="1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s="1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s="1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s="1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s="1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s="1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s="1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s="1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s="1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s="1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s="1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s="1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s="1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s="1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s="1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s="1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s="1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s="1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s="1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s="1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s="1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s="1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s="1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s="1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s="1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s="1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s="1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s="1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s="1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s="1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s="1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s="1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s="1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s="1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s="1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s="1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s="1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s="1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s="1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s="1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s="1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s="1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s="1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s="1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s="1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s="1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s="1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s="1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s="1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s="1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s="1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s="1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s="1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s="1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s="1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s="1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s="1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s="1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s="1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s="1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s="1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s="1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s="1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s="1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s="1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s="1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s="1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s="1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s="1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s="1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s="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s="1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s="1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s="1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s="1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s="1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s="1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s="1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s="1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s="1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s="1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s="1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s="1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s="1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s="1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s="1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s="1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s="1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s="1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s="1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s="1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s="1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s="1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s="1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s="1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s="1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s="1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s="1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s="1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s="1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s="1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s="1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s="1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s="1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s="1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s="1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s="1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s="1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s="1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s="1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s="1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s="1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s="1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s="1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s="1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s="1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s="1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s="1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s="1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s="1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s="1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s="1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s="1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s="1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s="1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s="1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s="1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s="1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s="1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s="1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s="1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s="1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s="1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s="1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s="1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s="1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s="1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s="1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s="1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s="1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s="1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s="1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s="1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s="1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s="1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s="1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s="1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s="1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s="1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s="1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s="1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s="1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s="1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s="1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s="1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s="1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s="1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s="1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s="1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s="1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s="1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s="1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s="1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s="1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s="1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s="1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s="1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s="1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s="1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s="1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s="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s="1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s="1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s="1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s="1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s="1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s="1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s="1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s="1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s="1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s="1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s="1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s="1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s="1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s="1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s="1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s="1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s="1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s="1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s="1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s="1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s="1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s="1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s="1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s="1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s="1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s="1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s="1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s="1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s="1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s="1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s="1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s="1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s="1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s="1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s="1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s="1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s="1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s="1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s="1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s="1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s="1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s="1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s="1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s="1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s="1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s="1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s="1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s="1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s="1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s="1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s="1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s="1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s="1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s="1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s="1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s="1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s="1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s="1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s="1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s="1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s="1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s="1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s="1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s="1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s="1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s="1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s="1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s="1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s="1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s="1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s="1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s="1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s="1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s="1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s="1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s="1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s="1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s="1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s="1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s="1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s="1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s="1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s="1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s="1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s="1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s="1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s="1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s="1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s="1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s="1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s="1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s="1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s="1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s="1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s="1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s="1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s="1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s="1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s="1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s="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s="1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s="1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s="1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s="1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s="1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s="1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s="1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s="1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s="1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s="1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s="1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s="1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s="1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s="1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s="1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s="1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s="1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s="1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s="1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s="1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s="1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s="1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s="1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s="1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s="1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s="1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s="1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s="1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s="1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s="1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s="1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s="1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s="1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s="1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s="1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s="1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s="1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s="1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s="1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s="1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s="1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s="1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s="1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s="1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s="1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s="1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s="1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s="1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s="1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s="1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s="1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s="1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s="1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s="1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s="1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s="1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s="1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s="1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s="1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s="1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s="1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s="1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s="1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s="1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s="1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s="1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s="1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s="1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s="1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s="1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s="1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s="1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s="1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s="1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s="1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s="1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s="1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s="1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s="1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s="1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s="1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s="1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s="1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s="1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s="1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s="1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s="1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s="1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s="1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s="1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s="1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s="1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s="1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s="1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s="1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s="1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s="1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s="1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s="1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s="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s="1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s="1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s="1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s="1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s="1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s="1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s="1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s="1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s="1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s="1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s="1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s="1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s="1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s="1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s="1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s="1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s="1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s="1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s="1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s="1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s="1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s="1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s="1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s="1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s="1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s="1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s="1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s="1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s="1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s="1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s="1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s="1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s="1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s="1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s="1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s="1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s="1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s="1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s="1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s="1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s="1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s="1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s="1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s="1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s="1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s="1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s="1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s="1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s="1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s="1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s="1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s="1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s="1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s="1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s="1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s="1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s="1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s="1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s="1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s="1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s="1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s="1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s="1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s="1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s="1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s="1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s="1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s="1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s="1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s="1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s="1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s="1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s="1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s="1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s="1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s="1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s="1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s="1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s="1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s="1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s="1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s="1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s="1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s="1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s="1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s="1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s="1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s="1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s="1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s="1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s="1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s="1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s="1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s="1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s="1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s="1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s="1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s="1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s="1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s="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s="1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s="1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s="1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s="1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s="1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s="1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s="1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s="1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s="1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s="1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s="1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s="1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s="1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s="1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s="1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s="1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s="1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s="1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s="1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s="1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s="1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s="1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s="1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s="1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s="1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s="1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s="1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s="1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s="1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s="1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s="1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s="1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s="1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s="1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s="1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s="1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s="1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s="1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s="1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s="1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s="1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s="1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s="1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s="1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s="1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s="1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s="1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s="1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s="1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s="1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s="1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s="1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s="1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s="1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s="1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s="1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s="1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s="1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s="1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s="1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s="1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s="1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s="1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s="1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s="1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s="1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s="1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s="1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s="1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s="1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s="1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s="1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s="1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s="1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s="1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s="1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s="1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s="1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s="1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s="1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s="1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s="1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s="1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s="1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s="1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s="1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s="1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s="1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s="1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s="1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s="1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s="1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s="1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s="1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s="1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s="1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s="1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s="1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s="1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s="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s="1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s="1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s="1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s="1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s="1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s="1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s="1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s="1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s="1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s="1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s="1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s="1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s="1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s="1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s="1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s="1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s="1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s="1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s="1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s="1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s="1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s="1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s="1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s="1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s="1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s="1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s="1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s="1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s="1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s="1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s="1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s="1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s="1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s="1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s="1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s="1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s="1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s="1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s="1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s="1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s="1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s="1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s="1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s="1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s="1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s="1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s="1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s="1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s="1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s="1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s="1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s="1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s="1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s="1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s="1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s="1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s="1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s="1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s="1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s="1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s="1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s="1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s="1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s="1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s="1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s="1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s="1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s="1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s="1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s="1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s="1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s="1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s="1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s="1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s="1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s="1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s="1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s="1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s="1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s="1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s="1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s="1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s="1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s="1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P$145">
    <filterColumn colId="10" hiddenButton="0" showButton="1">
      <filters>
        <filter val="regra de negócio"/>
      </filters>
    </filterColumn>
    <filterColumn colId="11" hiddenButton="0" showButton="1">
      <filters>
        <filter val="A validar"/>
      </filters>
    </filterColumn>
  </autoFilter>
  <dataValidations count="4">
    <dataValidation sqref="L2:L142 L144:L145" showDropDown="0" showInputMessage="0" showErrorMessage="0" allowBlank="1" type="list">
      <formula1>"A validar,Validado"</formula1>
    </dataValidation>
    <dataValidation sqref="P2:P145" showDropDown="0" showInputMessage="0" showErrorMessage="0" allowBlank="1" type="list">
      <formula1>"Sim,Não,Incompleto"</formula1>
    </dataValidation>
    <dataValidation sqref="L143" showDropDown="0" showInputMessage="0" showErrorMessage="0" allowBlank="1" type="list">
      <formula1>"A validar,Validado"</formula1>
    </dataValidation>
    <dataValidation sqref="K2:K145" showDropDown="0" showInputMessage="0" showErrorMessage="0" allowBlank="1" type="list">
      <formula1>"regra de negócio,infraestrutura (excluída),interface (excluída),sem comentário próprio (excluída),a discutir"</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0"/>
  <cols>
    <col width="15" customWidth="1" style="16" min="1" max="1"/>
    <col width="15.14" customWidth="1" style="16" min="2" max="2"/>
    <col width="11" customWidth="1" style="16" min="3" max="4"/>
    <col width="60" customWidth="1" style="16" min="5" max="5"/>
    <col width="72" customWidth="1" style="16" min="6" max="6"/>
    <col width="30" customWidth="1" style="16" min="7" max="7"/>
    <col width="24" customWidth="1" style="16" min="8" max="8"/>
    <col width="16" customWidth="1" style="16" min="9" max="9"/>
  </cols>
  <sheetData>
    <row r="1" ht="30" customHeight="1" s="16">
      <c r="A1" s="6" t="inlineStr">
        <is>
          <t>ID</t>
        </is>
      </c>
      <c r="B1" s="6" t="inlineStr">
        <is>
          <t>Programa</t>
        </is>
      </c>
      <c r="C1" s="6" t="inlineStr">
        <is>
          <t>Linhas do comentário</t>
        </is>
      </c>
      <c r="D1" s="6" t="inlineStr">
        <is>
          <t>Linhas do código</t>
        </is>
      </c>
      <c r="E1" s="6" t="inlineStr">
        <is>
          <t>Comentário</t>
        </is>
      </c>
      <c r="F1" s="6" t="inlineStr">
        <is>
          <t>Trecho de código</t>
        </is>
      </c>
      <c r="G1" s="6" t="inlineStr">
        <is>
          <t>Motivo do descarte</t>
        </is>
      </c>
      <c r="H1" s="6" t="inlineStr">
        <is>
          <t>Alertas</t>
        </is>
      </c>
      <c r="I1" s="6" t="inlineStr">
        <is>
          <t>Reavaliação</t>
        </is>
      </c>
      <c r="J1" s="2" t="n"/>
      <c r="K1" s="2" t="n"/>
      <c r="L1" s="2" t="n"/>
      <c r="M1" s="2" t="n"/>
      <c r="N1" s="2" t="n"/>
      <c r="O1" s="2" t="n"/>
      <c r="P1" s="2" t="n"/>
      <c r="Q1" s="2" t="n"/>
      <c r="R1" s="2" t="n"/>
      <c r="S1" s="2" t="n"/>
      <c r="T1" s="2" t="n"/>
      <c r="U1" s="2" t="n"/>
      <c r="V1" s="2" t="n"/>
      <c r="W1" s="2" t="n"/>
      <c r="X1" s="2" t="n"/>
      <c r="Y1" s="2" t="n"/>
      <c r="Z1" s="2" t="n"/>
    </row>
    <row r="2">
      <c r="A2" s="5" t="inlineStr">
        <is>
          <t>DBCRFUN-002</t>
        </is>
      </c>
      <c r="B2" s="5" t="inlineStr">
        <is>
          <t>DBCRFUN</t>
        </is>
      </c>
      <c r="C2" s="5" t="inlineStr">
        <is>
          <t>215-221</t>
        </is>
      </c>
      <c r="D2" s="5" t="inlineStr">
        <is>
          <t>223</t>
        </is>
      </c>
      <c r="E2" s="5" t="inlineStr">
        <is>
          <t>Determine what kind of ACCOUNT datastore we should be accessing Go and update the ACCOUNT record</t>
        </is>
      </c>
      <c r="F2" s="10" t="inlineStr">
        <is>
          <t xml:space="preserve">     PERFORM UPDATE-ACCOUNT-DB2.</t>
        </is>
      </c>
      <c r="G2" s="5" t="inlineStr">
        <is>
          <t>Procedural (sem decisão nem tratamento de falha)</t>
        </is>
      </c>
      <c r="H2" s="5" t="inlineStr">
        <is>
          <t>comentário delega lógica (PERFORM); comentário menciona condição: reavaliar</t>
        </is>
      </c>
      <c r="I2" s="14" t="inlineStr">
        <is>
          <t>Manter descartado</t>
        </is>
      </c>
      <c r="J2" s="2" t="n"/>
      <c r="K2" s="2" t="n"/>
      <c r="L2" s="2" t="n"/>
      <c r="M2" s="2" t="n"/>
      <c r="N2" s="2" t="n"/>
      <c r="O2" s="2" t="n"/>
      <c r="P2" s="2" t="n"/>
      <c r="Q2" s="2" t="n"/>
      <c r="R2" s="2" t="n"/>
      <c r="S2" s="2" t="n"/>
      <c r="T2" s="2" t="n"/>
      <c r="U2" s="2" t="n"/>
      <c r="V2" s="2" t="n"/>
      <c r="W2" s="2" t="n"/>
      <c r="X2" s="2" t="n"/>
      <c r="Y2" s="2" t="n"/>
      <c r="Z2" s="2" t="n"/>
    </row>
    <row r="3">
      <c r="A3" s="5" t="inlineStr">
        <is>
          <t>DBCRFUN-003</t>
        </is>
      </c>
      <c r="B3" s="5" t="inlineStr">
        <is>
          <t>DBCRFUN</t>
        </is>
      </c>
      <c r="C3" s="5" t="inlineStr">
        <is>
          <t>225-226</t>
        </is>
      </c>
      <c r="D3" s="5" t="inlineStr">
        <is>
          <t>229-240</t>
        </is>
      </c>
      <c r="E3" s="5" t="inlineStr">
        <is>
          <t>The COMMAREA values have now been set so all we need to do is finish</t>
        </is>
      </c>
      <c r="F3" s="10" t="inlineStr">
        <is>
          <t xml:space="preserve">    PERFORM GET-ME-OUT-OF-HERE.
A999.
    EXIT.
UPDATE-ACCOUNT-DB2 SECTION.
UAD010.
    MOVE COMM-ACCNO TO DESIRED-ACC-NO.
    MOVE DESIRED-SORT-CODE TO HV-ACCOUNT-SORTCODE.
    MOVE DESIRED-ACC-NO TO HV-ACCOUNT-ACC-NO.</t>
        </is>
      </c>
      <c r="G3" s="5" t="inlineStr">
        <is>
          <t>Procedural (sem decisão nem tratamento de falha)</t>
        </is>
      </c>
      <c r="H3" s="5" t="inlineStr">
        <is>
          <t>comentário delega lógica (PERFORM)</t>
        </is>
      </c>
      <c r="I3" s="14" t="inlineStr">
        <is>
          <t>Manter descartado</t>
        </is>
      </c>
      <c r="J3" s="2" t="n"/>
      <c r="K3" s="2" t="n"/>
      <c r="L3" s="2" t="n"/>
      <c r="M3" s="2" t="n"/>
      <c r="N3" s="2" t="n"/>
      <c r="O3" s="2" t="n"/>
      <c r="P3" s="2" t="n"/>
      <c r="Q3" s="2" t="n"/>
      <c r="R3" s="2" t="n"/>
      <c r="S3" s="2" t="n"/>
      <c r="T3" s="2" t="n"/>
      <c r="U3" s="2" t="n"/>
      <c r="V3" s="2" t="n"/>
      <c r="W3" s="2" t="n"/>
      <c r="X3" s="2" t="n"/>
      <c r="Y3" s="2" t="n"/>
      <c r="Z3" s="2" t="n"/>
    </row>
    <row r="4">
      <c r="A4" s="5" t="inlineStr">
        <is>
          <t>DBCRFUN-004</t>
        </is>
      </c>
      <c r="B4" s="5" t="inlineStr">
        <is>
          <t>DBCRFUN</t>
        </is>
      </c>
      <c r="C4" s="5" t="inlineStr">
        <is>
          <t>243</t>
        </is>
      </c>
      <c r="D4" s="5" t="inlineStr">
        <is>
          <t>245-273</t>
        </is>
      </c>
      <c r="E4" s="5" t="inlineStr">
        <is>
          <t>Retrieve the account information</t>
        </is>
      </c>
      <c r="F4" s="10" t="inlineStr">
        <is>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is>
      </c>
      <c r="G4" s="5" t="inlineStr">
        <is>
          <t>Procedural (sem decisão nem tratamento de falha)</t>
        </is>
      </c>
      <c r="H4" s="5" t="n"/>
      <c r="I4" s="14" t="inlineStr">
        <is>
          <t>Manter descartado</t>
        </is>
      </c>
      <c r="J4" s="2" t="n"/>
      <c r="K4" s="2" t="n"/>
      <c r="L4" s="2" t="n"/>
      <c r="M4" s="2" t="n"/>
      <c r="N4" s="2" t="n"/>
      <c r="O4" s="2" t="n"/>
      <c r="P4" s="2" t="n"/>
      <c r="Q4" s="2" t="n"/>
      <c r="R4" s="2" t="n"/>
      <c r="S4" s="2" t="n"/>
      <c r="T4" s="2" t="n"/>
      <c r="U4" s="2" t="n"/>
      <c r="V4" s="2" t="n"/>
      <c r="W4" s="2" t="n"/>
      <c r="X4" s="2" t="n"/>
      <c r="Y4" s="2" t="n"/>
      <c r="Z4" s="2" t="n"/>
    </row>
    <row r="5">
      <c r="A5" s="5" t="inlineStr">
        <is>
          <t>DBCRFUN-006</t>
        </is>
      </c>
      <c r="B5" s="5" t="inlineStr">
        <is>
          <t>DBCRFUN</t>
        </is>
      </c>
      <c r="C5" s="5" t="inlineStr">
        <is>
          <t>290-291</t>
        </is>
      </c>
      <c r="D5" s="5" t="inlineStr">
        <is>
          <t>293-297</t>
        </is>
      </c>
      <c r="E5" s="5" t="inlineStr">
        <is>
          <t>Check if SQLCODE indicates that Storm Drain processing is applicable in a workload if activated</t>
        </is>
      </c>
      <c r="F5" s="10" t="inlineStr">
        <is>
          <t xml:space="preserve">       PERFORM CHECK-FOR-STORM-DRAIN-DB2
       GO TO UAD999
    END-IF.</t>
        </is>
      </c>
      <c r="G5" s="5" t="inlineStr">
        <is>
          <t>Procedural (sem decisão nem tratamento de falha)</t>
        </is>
      </c>
      <c r="H5" s="5" t="inlineStr">
        <is>
          <t>comentário delega lógica (PERFORM); contém GO TO (desvio incondicional); comentário menciona condição: reavaliar</t>
        </is>
      </c>
      <c r="I5" s="14" t="inlineStr">
        <is>
          <t>Manter descartado</t>
        </is>
      </c>
      <c r="J5" s="2" t="n"/>
      <c r="K5" s="2" t="n"/>
      <c r="L5" s="2" t="n"/>
      <c r="M5" s="2" t="n"/>
      <c r="N5" s="2" t="n"/>
      <c r="O5" s="2" t="n"/>
      <c r="P5" s="2" t="n"/>
      <c r="Q5" s="2" t="n"/>
      <c r="R5" s="2" t="n"/>
      <c r="S5" s="2" t="n"/>
      <c r="T5" s="2" t="n"/>
      <c r="U5" s="2" t="n"/>
      <c r="V5" s="2" t="n"/>
      <c r="W5" s="2" t="n"/>
      <c r="X5" s="2" t="n"/>
      <c r="Y5" s="2" t="n"/>
      <c r="Z5" s="2" t="n"/>
    </row>
    <row r="6">
      <c r="A6" s="5" t="inlineStr">
        <is>
          <t>DBCRFUN-010</t>
        </is>
      </c>
      <c r="B6" s="5" t="inlineStr">
        <is>
          <t>DBCRFUN</t>
        </is>
      </c>
      <c r="C6" s="5" t="inlineStr">
        <is>
          <t>380-382</t>
        </is>
      </c>
      <c r="D6" s="5" t="inlineStr">
        <is>
          <t>384-387</t>
        </is>
      </c>
      <c r="E6" s="5" t="inlineStr">
        <is>
          <t>If the SQLCODE from the SELECT is OK then update the record and update the details on the PROCTRAN (Processed transaction) datastore.</t>
        </is>
      </c>
      <c r="F6" s="10" t="inlineStr">
        <is>
          <t xml:space="preserve">    COMPUTE HV-ACCOUNT-AVAIL-BAL =
       HV-ACCOUNT-AVAIL-BAL + COMM-AMT.
    COMPUTE HV-ACCOUNT-ACTUAL-BAL =
       HV-ACCOUNT-ACTUAL-BAL + COMM-AMT.</t>
        </is>
      </c>
      <c r="G6" s="5" t="inlineStr">
        <is>
          <t>Procedural (sem decisão nem tratamento de falha)</t>
        </is>
      </c>
      <c r="H6" s="5" t="inlineStr">
        <is>
          <t>comentário menciona condição: reavaliar</t>
        </is>
      </c>
      <c r="I6" s="14" t="inlineStr">
        <is>
          <t>Reincluir</t>
        </is>
      </c>
      <c r="J6" s="2" t="n"/>
      <c r="K6" s="2" t="n"/>
      <c r="L6" s="2" t="n"/>
      <c r="M6" s="2" t="n"/>
      <c r="N6" s="2" t="n"/>
      <c r="O6" s="2" t="n"/>
      <c r="P6" s="2" t="n"/>
      <c r="Q6" s="2" t="n"/>
      <c r="R6" s="2" t="n"/>
      <c r="S6" s="2" t="n"/>
      <c r="T6" s="2" t="n"/>
      <c r="U6" s="2" t="n"/>
      <c r="V6" s="2" t="n"/>
      <c r="W6" s="2" t="n"/>
      <c r="X6" s="2" t="n"/>
      <c r="Y6" s="2" t="n"/>
      <c r="Z6" s="2" t="n"/>
    </row>
    <row r="7">
      <c r="A7" s="5" t="inlineStr">
        <is>
          <t>DBCRFUN-011</t>
        </is>
      </c>
      <c r="B7" s="5" t="inlineStr">
        <is>
          <t>DBCRFUN</t>
        </is>
      </c>
      <c r="C7" s="5" t="inlineStr">
        <is>
          <t>390</t>
        </is>
      </c>
      <c r="D7" s="5" t="inlineStr">
        <is>
          <t>392-408</t>
        </is>
      </c>
      <c r="E7" s="5" t="inlineStr">
        <is>
          <t>Update the account record</t>
        </is>
      </c>
      <c r="F7" s="10" t="inlineStr">
        <is>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is>
      </c>
      <c r="G7" s="5" t="inlineStr">
        <is>
          <t>Procedural (sem decisão nem tratamento de falha)</t>
        </is>
      </c>
      <c r="H7" s="5" t="n"/>
      <c r="I7" s="14" t="inlineStr">
        <is>
          <t>Manter descartado</t>
        </is>
      </c>
      <c r="J7" s="2" t="n"/>
      <c r="K7" s="2" t="n"/>
      <c r="L7" s="2" t="n"/>
      <c r="M7" s="2" t="n"/>
      <c r="N7" s="2" t="n"/>
      <c r="O7" s="2" t="n"/>
      <c r="P7" s="2" t="n"/>
      <c r="Q7" s="2" t="n"/>
      <c r="R7" s="2" t="n"/>
      <c r="S7" s="2" t="n"/>
      <c r="T7" s="2" t="n"/>
      <c r="U7" s="2" t="n"/>
      <c r="V7" s="2" t="n"/>
      <c r="W7" s="2" t="n"/>
      <c r="X7" s="2" t="n"/>
      <c r="Y7" s="2" t="n"/>
      <c r="Z7" s="2" t="n"/>
    </row>
    <row r="8">
      <c r="A8" s="5" t="inlineStr">
        <is>
          <t>DBCRFUN-014</t>
        </is>
      </c>
      <c r="B8" s="5" t="inlineStr">
        <is>
          <t>DBCRFUN</t>
        </is>
      </c>
      <c r="C8" s="5" t="inlineStr">
        <is>
          <t>429-430</t>
        </is>
      </c>
      <c r="D8" s="5" t="inlineStr">
        <is>
          <t>432-435</t>
        </is>
      </c>
      <c r="E8" s="5" t="inlineStr">
        <is>
          <t>Check if SQLCODE indicates that Storm Drain processing is applicable in a workload if activated</t>
        </is>
      </c>
      <c r="F8" s="10" t="inlineStr">
        <is>
          <t xml:space="preserve">       PERFORM CHECK-FOR-STORM-DRAIN-DB2
       GO TO UAD999
    END-IF.</t>
        </is>
      </c>
      <c r="G8" s="5" t="inlineStr">
        <is>
          <t>Procedural (sem decisão nem tratamento de falha)</t>
        </is>
      </c>
      <c r="H8" s="5" t="inlineStr">
        <is>
          <t>comentário delega lógica (PERFORM); contém GO TO (desvio incondicional); comentário menciona condição: reavaliar</t>
        </is>
      </c>
      <c r="I8" s="14" t="inlineStr">
        <is>
          <t>Manter descartado</t>
        </is>
      </c>
      <c r="J8" s="2" t="n"/>
      <c r="K8" s="2" t="n"/>
      <c r="L8" s="2" t="n"/>
      <c r="M8" s="2" t="n"/>
      <c r="N8" s="2" t="n"/>
      <c r="O8" s="2" t="n"/>
      <c r="P8" s="2" t="n"/>
      <c r="Q8" s="2" t="n"/>
      <c r="R8" s="2" t="n"/>
      <c r="S8" s="2" t="n"/>
      <c r="T8" s="2" t="n"/>
      <c r="U8" s="2" t="n"/>
      <c r="V8" s="2" t="n"/>
      <c r="W8" s="2" t="n"/>
      <c r="X8" s="2" t="n"/>
      <c r="Y8" s="2" t="n"/>
      <c r="Z8" s="2" t="n"/>
    </row>
    <row r="9">
      <c r="A9" s="5" t="inlineStr">
        <is>
          <t>DBCRFUN-015</t>
        </is>
      </c>
      <c r="B9" s="5" t="inlineStr">
        <is>
          <t>DBCRFUN</t>
        </is>
      </c>
      <c r="C9" s="5" t="inlineStr">
        <is>
          <t>438-439</t>
        </is>
      </c>
      <c r="D9" s="5" t="inlineStr">
        <is>
          <t>441-448</t>
        </is>
      </c>
      <c r="E9" s="5" t="inlineStr">
        <is>
          <t>If the RESP CODE was normal then we need to write to the PROCTRAN (processed transaction) datastore.</t>
        </is>
      </c>
      <c r="F9" s="10" t="inlineStr">
        <is>
          <t xml:space="preserve">    PERFORM WRITE-TO-PROCTRAN.
UAD999.
    EXIT.
WRITE-TO-PROCTRAN SECTION.
WTP010.</t>
        </is>
      </c>
      <c r="G9" s="5" t="inlineStr">
        <is>
          <t>Procedural (sem decisão nem tratamento de falha)</t>
        </is>
      </c>
      <c r="H9" s="5" t="inlineStr">
        <is>
          <t>comentário delega lógica (PERFORM); comentário menciona condição: reavaliar</t>
        </is>
      </c>
      <c r="I9" s="14" t="inlineStr">
        <is>
          <t>Reincluir</t>
        </is>
      </c>
      <c r="J9" s="2" t="n"/>
      <c r="K9" s="2" t="n"/>
      <c r="L9" s="2" t="n"/>
      <c r="M9" s="2" t="n"/>
      <c r="N9" s="2" t="n"/>
      <c r="O9" s="2" t="n"/>
      <c r="P9" s="2" t="n"/>
      <c r="Q9" s="2" t="n"/>
      <c r="R9" s="2" t="n"/>
      <c r="S9" s="2" t="n"/>
      <c r="T9" s="2" t="n"/>
      <c r="U9" s="2" t="n"/>
      <c r="V9" s="2" t="n"/>
      <c r="W9" s="2" t="n"/>
      <c r="X9" s="2" t="n"/>
      <c r="Y9" s="2" t="n"/>
      <c r="Z9" s="2" t="n"/>
    </row>
    <row r="10">
      <c r="A10" s="5" t="inlineStr">
        <is>
          <t>DBCRFUN-016</t>
        </is>
      </c>
      <c r="B10" s="5" t="inlineStr">
        <is>
          <t>DBCRFUN</t>
        </is>
      </c>
      <c r="C10" s="5" t="inlineStr">
        <is>
          <t>451-452</t>
        </is>
      </c>
      <c r="D10" s="5" t="inlineStr">
        <is>
          <t>454-470</t>
        </is>
      </c>
      <c r="E10" s="5" t="inlineStr">
        <is>
          <t>Write to the PROCTRAN datastore deatils regarding the successfully applied transaction.</t>
        </is>
      </c>
      <c r="F10" s="10" t="inlineStr">
        <is>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is>
      </c>
      <c r="G10" s="5" t="inlineStr">
        <is>
          <t>Procedural (sem decisão nem tratamento de falha)</t>
        </is>
      </c>
      <c r="H10" s="5" t="inlineStr">
        <is>
          <t>comentário delega lógica (PERFORM)</t>
        </is>
      </c>
      <c r="I10" s="14" t="inlineStr">
        <is>
          <t>Manter descartado</t>
        </is>
      </c>
      <c r="J10" s="2" t="n"/>
      <c r="K10" s="2" t="n"/>
      <c r="L10" s="2" t="n"/>
      <c r="M10" s="2" t="n"/>
      <c r="N10" s="2" t="n"/>
      <c r="O10" s="2" t="n"/>
      <c r="P10" s="2" t="n"/>
      <c r="Q10" s="2" t="n"/>
      <c r="R10" s="2" t="n"/>
      <c r="S10" s="2" t="n"/>
      <c r="T10" s="2" t="n"/>
      <c r="U10" s="2" t="n"/>
      <c r="V10" s="2" t="n"/>
      <c r="W10" s="2" t="n"/>
      <c r="X10" s="2" t="n"/>
      <c r="Y10" s="2" t="n"/>
      <c r="Z10" s="2" t="n"/>
    </row>
    <row r="11">
      <c r="A11" s="5" t="inlineStr">
        <is>
          <t>DBCRFUN-020</t>
        </is>
      </c>
      <c r="B11" s="5" t="inlineStr">
        <is>
          <t>DBCRFUN</t>
        </is>
      </c>
      <c r="C11" s="5" t="inlineStr">
        <is>
          <t>522</t>
        </is>
      </c>
      <c r="D11" s="5" t="inlineStr">
        <is>
          <t>524-549</t>
        </is>
      </c>
      <c r="E11" s="5" t="inlineStr">
        <is>
          <t>Write a record to PROCTRAN</t>
        </is>
      </c>
      <c r="F11" s="10" t="inlineStr">
        <is>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is>
      </c>
      <c r="G11" s="5" t="inlineStr">
        <is>
          <t>Procedural (sem decisão nem tratamento de falha)</t>
        </is>
      </c>
      <c r="H11" s="5" t="n"/>
      <c r="I11" s="14" t="inlineStr">
        <is>
          <t>Manter descartado</t>
        </is>
      </c>
      <c r="J11" s="2" t="n"/>
      <c r="K11" s="2" t="n"/>
      <c r="L11" s="2" t="n"/>
      <c r="M11" s="2" t="n"/>
      <c r="N11" s="2" t="n"/>
      <c r="O11" s="2" t="n"/>
      <c r="P11" s="2" t="n"/>
      <c r="Q11" s="2" t="n"/>
      <c r="R11" s="2" t="n"/>
      <c r="S11" s="2" t="n"/>
      <c r="T11" s="2" t="n"/>
      <c r="U11" s="2" t="n"/>
      <c r="V11" s="2" t="n"/>
      <c r="W11" s="2" t="n"/>
      <c r="X11" s="2" t="n"/>
      <c r="Y11" s="2" t="n"/>
      <c r="Z11" s="2" t="n"/>
    </row>
    <row r="12">
      <c r="A12" s="5" t="inlineStr">
        <is>
          <t>DBCRFUN-025</t>
        </is>
      </c>
      <c r="B12" s="5" t="inlineStr">
        <is>
          <t>DBCRFUN</t>
        </is>
      </c>
      <c r="C12" s="5" t="inlineStr">
        <is>
          <t>639-640</t>
        </is>
      </c>
      <c r="D12" s="5" t="inlineStr">
        <is>
          <t>642-644</t>
        </is>
      </c>
      <c r="E12" s="5" t="inlineStr">
        <is>
          <t>Check if SQLCODE indicates that Storm Drain processing is applicable in a workload if activated</t>
        </is>
      </c>
      <c r="F12" s="10" t="inlineStr">
        <is>
          <t xml:space="preserve">       PERFORM CHECK-FOR-STORM-DRAIN-DB2
    ELSE</t>
        </is>
      </c>
      <c r="G12" s="5" t="inlineStr">
        <is>
          <t>Procedural (sem decisão nem tratamento de falha)</t>
        </is>
      </c>
      <c r="H12" s="5" t="inlineStr">
        <is>
          <t>comentário delega lógica (PERFORM); comentário menciona condição: reavaliar</t>
        </is>
      </c>
      <c r="I12" s="14" t="inlineStr">
        <is>
          <t>Manter descartado</t>
        </is>
      </c>
      <c r="J12" s="2" t="n"/>
      <c r="K12" s="2" t="n"/>
      <c r="L12" s="2" t="n"/>
      <c r="M12" s="2" t="n"/>
      <c r="N12" s="2" t="n"/>
      <c r="O12" s="2" t="n"/>
      <c r="P12" s="2" t="n"/>
      <c r="Q12" s="2" t="n"/>
      <c r="R12" s="2" t="n"/>
      <c r="S12" s="2" t="n"/>
      <c r="T12" s="2" t="n"/>
      <c r="U12" s="2" t="n"/>
      <c r="V12" s="2" t="n"/>
      <c r="W12" s="2" t="n"/>
      <c r="X12" s="2" t="n"/>
      <c r="Y12" s="2" t="n"/>
      <c r="Z12" s="2" t="n"/>
    </row>
    <row r="13">
      <c r="A13" s="5" t="inlineStr">
        <is>
          <t>DBCRFUN-028</t>
        </is>
      </c>
      <c r="B13" s="5" t="inlineStr">
        <is>
          <t>DBCRFUN</t>
        </is>
      </c>
      <c r="C13" s="5" t="inlineStr">
        <is>
          <t>699</t>
        </is>
      </c>
      <c r="D13" s="5" t="inlineStr">
        <is>
          <t>701-705</t>
        </is>
      </c>
      <c r="E13" s="5" t="inlineStr">
        <is>
          <t>How ABENDs are dealt with</t>
        </is>
      </c>
      <c r="F13" s="10" t="inlineStr">
        <is>
          <t>ABEND-HANDLING SECTION.
AH010.
    EXEC CICS ASSIGN ABCODE(MY-ABEND-CODE)
    END-EXEC.</t>
        </is>
      </c>
      <c r="G13" s="5" t="inlineStr">
        <is>
          <t>Procedural (sem decisão nem tratamento de falha)</t>
        </is>
      </c>
      <c r="H13" s="5" t="n"/>
      <c r="I13" s="14" t="inlineStr">
        <is>
          <t>Manter descartado</t>
        </is>
      </c>
      <c r="J13" s="2" t="n"/>
      <c r="K13" s="2" t="n"/>
      <c r="L13" s="2" t="n"/>
      <c r="M13" s="2" t="n"/>
      <c r="N13" s="2" t="n"/>
      <c r="O13" s="2" t="n"/>
      <c r="P13" s="2" t="n"/>
      <c r="Q13" s="2" t="n"/>
      <c r="R13" s="2" t="n"/>
      <c r="S13" s="2" t="n"/>
      <c r="T13" s="2" t="n"/>
      <c r="U13" s="2" t="n"/>
      <c r="V13" s="2" t="n"/>
      <c r="W13" s="2" t="n"/>
      <c r="X13" s="2" t="n"/>
      <c r="Y13" s="2" t="n"/>
      <c r="Z13" s="2" t="n"/>
    </row>
    <row r="14">
      <c r="A14" s="5" t="inlineStr">
        <is>
          <t>XFRFUN-002</t>
        </is>
      </c>
      <c r="B14" s="5" t="inlineStr">
        <is>
          <t>XFRFUN</t>
        </is>
      </c>
      <c r="C14" s="5" t="inlineStr">
        <is>
          <t>299-300</t>
        </is>
      </c>
      <c r="D14" s="5" t="inlineStr">
        <is>
          <t>302-311</t>
        </is>
      </c>
      <c r="E14" s="5" t="inlineStr">
        <is>
          <t>The COMMAREA values have now been set so all we need to do is finish</t>
        </is>
      </c>
      <c r="F14" s="10" t="inlineStr">
        <is>
          <t xml:space="preserve">    PERFORM GET-ME-OUT-OF-HERE.
A999.
    EXIT.
UPDATE-ACCOUNT-DB2 SECTION.
UAD010.
    MOVE 'N' TO COMM-SUCCESS.</t>
        </is>
      </c>
      <c r="G14" s="5" t="inlineStr">
        <is>
          <t>Procedural (sem decisão nem tratamento de falha)</t>
        </is>
      </c>
      <c r="H14" s="5" t="inlineStr">
        <is>
          <t>comentário delega lógica (PERFORM)</t>
        </is>
      </c>
      <c r="I14" s="14" t="inlineStr">
        <is>
          <t>Manter descartado</t>
        </is>
      </c>
      <c r="J14" s="2" t="n"/>
      <c r="K14" s="2" t="n"/>
      <c r="L14" s="2" t="n"/>
      <c r="M14" s="2" t="n"/>
      <c r="N14" s="2" t="n"/>
      <c r="O14" s="2" t="n"/>
      <c r="P14" s="2" t="n"/>
      <c r="Q14" s="2" t="n"/>
      <c r="R14" s="2" t="n"/>
      <c r="S14" s="2" t="n"/>
      <c r="T14" s="2" t="n"/>
      <c r="U14" s="2" t="n"/>
      <c r="V14" s="2" t="n"/>
      <c r="W14" s="2" t="n"/>
      <c r="X14" s="2" t="n"/>
      <c r="Y14" s="2" t="n"/>
      <c r="Z14" s="2" t="n"/>
    </row>
    <row r="15">
      <c r="A15" s="5" t="inlineStr">
        <is>
          <t>XFRFUN-007</t>
        </is>
      </c>
      <c r="B15" s="5" t="inlineStr">
        <is>
          <t>XFRFUN</t>
        </is>
      </c>
      <c r="C15" s="5" t="inlineStr">
        <is>
          <t>387</t>
        </is>
      </c>
      <c r="D15" s="5" t="inlineStr">
        <is>
          <t>389</t>
        </is>
      </c>
      <c r="E15" s="5" t="inlineStr">
        <is>
          <t>Update the FROM account</t>
        </is>
      </c>
      <c r="F15" s="10" t="inlineStr">
        <is>
          <t xml:space="preserve">       PERFORM UPDATE-ACCOUNT-DB2-FROM</t>
        </is>
      </c>
      <c r="G15" s="5" t="inlineStr">
        <is>
          <t>Procedural (sem decisão nem tratamento de falha)</t>
        </is>
      </c>
      <c r="H15" s="5" t="inlineStr">
        <is>
          <t>comentário delega lógica (PERFORM)</t>
        </is>
      </c>
      <c r="I15" s="14" t="inlineStr">
        <is>
          <t>Manter descartado</t>
        </is>
      </c>
      <c r="J15" s="2" t="n"/>
      <c r="K15" s="2" t="n"/>
      <c r="L15" s="2" t="n"/>
      <c r="M15" s="2" t="n"/>
      <c r="N15" s="2" t="n"/>
      <c r="O15" s="2" t="n"/>
      <c r="P15" s="2" t="n"/>
      <c r="Q15" s="2" t="n"/>
      <c r="R15" s="2" t="n"/>
      <c r="S15" s="2" t="n"/>
      <c r="T15" s="2" t="n"/>
      <c r="U15" s="2" t="n"/>
      <c r="V15" s="2" t="n"/>
      <c r="W15" s="2" t="n"/>
      <c r="X15" s="2" t="n"/>
      <c r="Y15" s="2" t="n"/>
      <c r="Z15" s="2" t="n"/>
    </row>
    <row r="16">
      <c r="A16" s="5" t="inlineStr">
        <is>
          <t>XFRFUN-018</t>
        </is>
      </c>
      <c r="B16" s="5" t="inlineStr">
        <is>
          <t>XFRFUN</t>
        </is>
      </c>
      <c r="C16" s="5" t="inlineStr">
        <is>
          <t>598</t>
        </is>
      </c>
      <c r="D16" s="5" t="inlineStr">
        <is>
          <t>600</t>
        </is>
      </c>
      <c r="E16" s="5" t="inlineStr">
        <is>
          <t>Update the TO account number</t>
        </is>
      </c>
      <c r="F16" s="10" t="inlineStr">
        <is>
          <t xml:space="preserve">       PERFORM UPDATE-ACCOUNT-DB2-TO</t>
        </is>
      </c>
      <c r="G16" s="5" t="inlineStr">
        <is>
          <t>Procedural (sem decisão nem tratamento de falha)</t>
        </is>
      </c>
      <c r="H16" s="5" t="inlineStr">
        <is>
          <t>comentário delega lógica (PERFORM)</t>
        </is>
      </c>
      <c r="I16" s="14" t="inlineStr">
        <is>
          <t>Manter descartado</t>
        </is>
      </c>
      <c r="J16" s="2" t="n"/>
      <c r="K16" s="2" t="n"/>
      <c r="L16" s="2" t="n"/>
      <c r="M16" s="2" t="n"/>
      <c r="N16" s="2" t="n"/>
      <c r="O16" s="2" t="n"/>
      <c r="P16" s="2" t="n"/>
      <c r="Q16" s="2" t="n"/>
      <c r="R16" s="2" t="n"/>
      <c r="S16" s="2" t="n"/>
      <c r="T16" s="2" t="n"/>
      <c r="U16" s="2" t="n"/>
      <c r="V16" s="2" t="n"/>
      <c r="W16" s="2" t="n"/>
      <c r="X16" s="2" t="n"/>
      <c r="Y16" s="2" t="n"/>
      <c r="Z16" s="2" t="n"/>
    </row>
    <row r="17">
      <c r="A17" s="5" t="inlineStr">
        <is>
          <t>XFRFUN-032</t>
        </is>
      </c>
      <c r="B17" s="5" t="inlineStr">
        <is>
          <t>XFRFUN</t>
        </is>
      </c>
      <c r="C17" s="5" t="inlineStr">
        <is>
          <t>907-909</t>
        </is>
      </c>
      <c r="D17" s="5" t="inlineStr">
        <is>
          <t>911-920</t>
        </is>
      </c>
      <c r="E17" s="5" t="inlineStr">
        <is>
          <t>If the updates to the TO and FROM accounts were successful then we need to write to PROCTRAN (processed transaction) to record the successful transfer.</t>
        </is>
      </c>
      <c r="F17" s="10" t="inlineStr">
        <is>
          <t xml:space="preserve">    PERFORM WRITE-TO-PROCTRAN.
    MOVE 'Y' TO COMM-SUCCESS.
UAD999.
    EXIT.
UPDATE-ACCOUNT-DB2-FROM SECTION.
UADF010.</t>
        </is>
      </c>
      <c r="G17" s="5" t="inlineStr">
        <is>
          <t>Procedural (sem decisão nem tratamento de falha)</t>
        </is>
      </c>
      <c r="H17" s="5" t="inlineStr">
        <is>
          <t>comentário delega lógica (PERFORM); comentário menciona condição: reavaliar</t>
        </is>
      </c>
      <c r="I17" s="14" t="inlineStr">
        <is>
          <t>Reincluir</t>
        </is>
      </c>
      <c r="J17" s="2" t="n"/>
      <c r="K17" s="2" t="n"/>
      <c r="L17" s="2" t="n"/>
      <c r="M17" s="2" t="n"/>
      <c r="N17" s="2" t="n"/>
      <c r="O17" s="2" t="n"/>
      <c r="P17" s="2" t="n"/>
      <c r="Q17" s="2" t="n"/>
      <c r="R17" s="2" t="n"/>
      <c r="S17" s="2" t="n"/>
      <c r="T17" s="2" t="n"/>
      <c r="U17" s="2" t="n"/>
      <c r="V17" s="2" t="n"/>
      <c r="W17" s="2" t="n"/>
      <c r="X17" s="2" t="n"/>
      <c r="Y17" s="2" t="n"/>
      <c r="Z17" s="2" t="n"/>
    </row>
    <row r="18">
      <c r="A18" s="5" t="inlineStr">
        <is>
          <t>XFRFUN-033</t>
        </is>
      </c>
      <c r="B18" s="5" t="inlineStr">
        <is>
          <t>XFRFUN</t>
        </is>
      </c>
      <c r="C18" s="5" t="inlineStr">
        <is>
          <t>922</t>
        </is>
      </c>
      <c r="D18" s="5" t="inlineStr">
        <is>
          <t>924-958</t>
        </is>
      </c>
      <c r="E18" s="5" t="inlineStr">
        <is>
          <t>Position ourself at the matching FROM account record</t>
        </is>
      </c>
      <c r="F18" s="10" t="inlineStr">
        <is>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is>
      </c>
      <c r="G18" s="5" t="inlineStr">
        <is>
          <t>Procedural (sem decisão nem tratamento de falha)</t>
        </is>
      </c>
      <c r="H18" s="5" t="n"/>
      <c r="I18" s="14" t="inlineStr">
        <is>
          <t>Manter descartado</t>
        </is>
      </c>
      <c r="J18" s="2" t="n"/>
      <c r="K18" s="2" t="n"/>
      <c r="L18" s="2" t="n"/>
      <c r="M18" s="2" t="n"/>
      <c r="N18" s="2" t="n"/>
      <c r="O18" s="2" t="n"/>
      <c r="P18" s="2" t="n"/>
      <c r="Q18" s="2" t="n"/>
      <c r="R18" s="2" t="n"/>
      <c r="S18" s="2" t="n"/>
      <c r="T18" s="2" t="n"/>
      <c r="U18" s="2" t="n"/>
      <c r="V18" s="2" t="n"/>
      <c r="W18" s="2" t="n"/>
      <c r="X18" s="2" t="n"/>
      <c r="Y18" s="2" t="n"/>
      <c r="Z18" s="2" t="n"/>
    </row>
    <row r="19">
      <c r="A19" s="5" t="inlineStr">
        <is>
          <t>XFRFUN-035</t>
        </is>
      </c>
      <c r="B19" s="5" t="inlineStr">
        <is>
          <t>XFRFUN</t>
        </is>
      </c>
      <c r="C19" s="5" t="inlineStr">
        <is>
          <t>973-974</t>
        </is>
      </c>
      <c r="D19" s="5" t="inlineStr">
        <is>
          <t>976-980</t>
        </is>
      </c>
      <c r="E19" s="5" t="inlineStr">
        <is>
          <t>Check if SQLCODE indicates that Storm Drain processing is applicable in a workload if activated</t>
        </is>
      </c>
      <c r="F19" s="10" t="inlineStr">
        <is>
          <t xml:space="preserve">       PERFORM CHECK-FOR-STORM-DRAIN-DB2
       GO TO UADF999
    END-IF.</t>
        </is>
      </c>
      <c r="G19" s="5" t="inlineStr">
        <is>
          <t>Procedural (sem decisão nem tratamento de falha)</t>
        </is>
      </c>
      <c r="H19" s="5" t="inlineStr">
        <is>
          <t>comentário delega lógica (PERFORM); contém GO TO (desvio incondicional); comentário menciona condição: reavaliar</t>
        </is>
      </c>
      <c r="I19" s="14" t="inlineStr">
        <is>
          <t>Manter descartado</t>
        </is>
      </c>
      <c r="J19" s="2" t="n"/>
      <c r="K19" s="2" t="n"/>
      <c r="L19" s="2" t="n"/>
      <c r="M19" s="2" t="n"/>
      <c r="N19" s="2" t="n"/>
      <c r="O19" s="2" t="n"/>
      <c r="P19" s="2" t="n"/>
      <c r="Q19" s="2" t="n"/>
      <c r="R19" s="2" t="n"/>
      <c r="S19" s="2" t="n"/>
      <c r="T19" s="2" t="n"/>
      <c r="U19" s="2" t="n"/>
      <c r="V19" s="2" t="n"/>
      <c r="W19" s="2" t="n"/>
      <c r="X19" s="2" t="n"/>
      <c r="Y19" s="2" t="n"/>
      <c r="Z19" s="2" t="n"/>
    </row>
    <row r="20">
      <c r="A20" s="5" t="inlineStr">
        <is>
          <t>XFRFUN-036</t>
        </is>
      </c>
      <c r="B20" s="5" t="inlineStr">
        <is>
          <t>XFRFUN</t>
        </is>
      </c>
      <c r="C20" s="5" t="inlineStr">
        <is>
          <t>983-984</t>
        </is>
      </c>
      <c r="D20" s="5" t="inlineStr">
        <is>
          <t>986-1008</t>
        </is>
      </c>
      <c r="E20" s="5" t="inlineStr">
        <is>
          <t>If the SQLCODE is OK then update the row on ACCOUNT for the FROM account.</t>
        </is>
      </c>
      <c r="F20" s="10" t="inlineStr">
        <is>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is>
      </c>
      <c r="G20" s="5" t="inlineStr">
        <is>
          <t>Procedural (sem decisão nem tratamento de falha)</t>
        </is>
      </c>
      <c r="H20" s="5" t="inlineStr">
        <is>
          <t>comentário menciona condição: reavaliar</t>
        </is>
      </c>
      <c r="I20" s="14" t="inlineStr">
        <is>
          <t>Reincluir</t>
        </is>
      </c>
      <c r="J20" s="2" t="n"/>
      <c r="K20" s="2" t="n"/>
      <c r="L20" s="2" t="n"/>
      <c r="M20" s="2" t="n"/>
      <c r="N20" s="2" t="n"/>
      <c r="O20" s="2" t="n"/>
      <c r="P20" s="2" t="n"/>
      <c r="Q20" s="2" t="n"/>
      <c r="R20" s="2" t="n"/>
      <c r="S20" s="2" t="n"/>
      <c r="T20" s="2" t="n"/>
      <c r="U20" s="2" t="n"/>
      <c r="V20" s="2" t="n"/>
      <c r="W20" s="2" t="n"/>
      <c r="X20" s="2" t="n"/>
      <c r="Y20" s="2" t="n"/>
      <c r="Z20" s="2" t="n"/>
    </row>
    <row r="21" s="16">
      <c r="A21" s="5" t="inlineStr">
        <is>
          <t>XFRFUN-038</t>
        </is>
      </c>
      <c r="B21" s="5" t="inlineStr">
        <is>
          <t>XFRFUN</t>
        </is>
      </c>
      <c r="C21" s="5" t="inlineStr">
        <is>
          <t>1020-1021</t>
        </is>
      </c>
      <c r="D21" s="5" t="inlineStr">
        <is>
          <t>1023-1027</t>
        </is>
      </c>
      <c r="E21" s="5" t="inlineStr">
        <is>
          <t>Check if SQLCODE indicates that Storm Drain processing is applicable in a workload if activated</t>
        </is>
      </c>
      <c r="F21" s="10" t="inlineStr">
        <is>
          <t xml:space="preserve">       PERFORM CHECK-FOR-STORM-DRAIN-DB2
       GO TO UADF999
    END-IF.</t>
        </is>
      </c>
      <c r="G21" s="5" t="inlineStr">
        <is>
          <t>Procedural (sem decisão nem tratamento de falha)</t>
        </is>
      </c>
      <c r="H21" s="5" t="inlineStr">
        <is>
          <t>comentário delega lógica (PERFORM); contém GO TO (desvio incondicional); comentário menciona condição: reavaliar</t>
        </is>
      </c>
      <c r="I21" s="14" t="inlineStr">
        <is>
          <t>Manter descartado</t>
        </is>
      </c>
      <c r="J21" s="2" t="n"/>
      <c r="K21" s="2" t="n"/>
      <c r="L21" s="2" t="n"/>
      <c r="M21" s="2" t="n"/>
      <c r="N21" s="2" t="n"/>
      <c r="O21" s="2" t="n"/>
      <c r="P21" s="2" t="n"/>
      <c r="Q21" s="2" t="n"/>
      <c r="R21" s="2" t="n"/>
      <c r="S21" s="2" t="n"/>
      <c r="T21" s="2" t="n"/>
      <c r="U21" s="2" t="n"/>
      <c r="V21" s="2" t="n"/>
      <c r="W21" s="2" t="n"/>
      <c r="X21" s="2" t="n"/>
      <c r="Y21" s="2" t="n"/>
      <c r="Z21" s="2" t="n"/>
    </row>
    <row r="22" s="16">
      <c r="A22" s="5" t="inlineStr">
        <is>
          <t>XFRFUN-039</t>
        </is>
      </c>
      <c r="B22" s="5" t="inlineStr">
        <is>
          <t>XFRFUN</t>
        </is>
      </c>
      <c r="C22" s="5" t="inlineStr">
        <is>
          <t>1030-1031</t>
        </is>
      </c>
      <c r="D22" s="5" t="inlineStr">
        <is>
          <t>1033-1044</t>
        </is>
      </c>
      <c r="E22" s="5" t="inlineStr">
        <is>
          <t>If the update to the FROM account was OK store the updated balances away.</t>
        </is>
      </c>
      <c r="F22" s="10" t="inlineStr">
        <is>
          <t xml:space="preserve">    MOVE HV-ACCOUNT-AVAIL-BAL TO COMM-FAVBAL.
    MOVE HV-ACCOUNT-ACTUAL-BAL TO COMM-FACTBAL.
    MOVE 'Y' TO COMM-SUCCESS.
UADF999.
    EXIT.
UPDATE-ACCOUNT-DB2-TO SECTION.
UADT010.
    MOVE 'N' TO COMM-SUCCESS.</t>
        </is>
      </c>
      <c r="G22" s="5" t="inlineStr">
        <is>
          <t>Procedural (sem decisão nem tratamento de falha)</t>
        </is>
      </c>
      <c r="H22" s="5" t="inlineStr">
        <is>
          <t>comentário menciona condição: reavaliar</t>
        </is>
      </c>
      <c r="I22" s="14" t="inlineStr">
        <is>
          <t>Manter descartado</t>
        </is>
      </c>
      <c r="J22" s="2" t="n"/>
      <c r="K22" s="2" t="n"/>
      <c r="L22" s="2" t="n"/>
      <c r="M22" s="2" t="n"/>
      <c r="N22" s="2" t="n"/>
      <c r="O22" s="2" t="n"/>
      <c r="P22" s="2" t="n"/>
      <c r="Q22" s="2" t="n"/>
      <c r="R22" s="2" t="n"/>
      <c r="S22" s="2" t="n"/>
      <c r="T22" s="2" t="n"/>
      <c r="U22" s="2" t="n"/>
      <c r="V22" s="2" t="n"/>
      <c r="W22" s="2" t="n"/>
      <c r="X22" s="2" t="n"/>
      <c r="Y22" s="2" t="n"/>
      <c r="Z22" s="2" t="n"/>
    </row>
    <row r="23" s="16">
      <c r="A23" s="5" t="inlineStr">
        <is>
          <t>XFRFUN-040</t>
        </is>
      </c>
      <c r="B23" s="5" t="inlineStr">
        <is>
          <t>XFRFUN</t>
        </is>
      </c>
      <c r="C23" s="5" t="inlineStr">
        <is>
          <t>1046-1047</t>
        </is>
      </c>
      <c r="D23" s="5" t="inlineStr">
        <is>
          <t>1049-1085</t>
        </is>
      </c>
      <c r="E23" s="5" t="inlineStr">
        <is>
          <t>Position ourself at the matching account record for the TO account</t>
        </is>
      </c>
      <c r="F23" s="10" t="inlineStr">
        <is>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is>
      </c>
      <c r="G23" s="5" t="inlineStr">
        <is>
          <t>Procedural (sem decisão nem tratamento de falha)</t>
        </is>
      </c>
      <c r="H23" s="5" t="n"/>
      <c r="I23" s="14" t="inlineStr">
        <is>
          <t>Manter descartado</t>
        </is>
      </c>
      <c r="J23" s="2" t="n"/>
      <c r="K23" s="2" t="n"/>
      <c r="L23" s="2" t="n"/>
      <c r="M23" s="2" t="n"/>
      <c r="N23" s="2" t="n"/>
      <c r="O23" s="2" t="n"/>
      <c r="P23" s="2" t="n"/>
      <c r="Q23" s="2" t="n"/>
      <c r="R23" s="2" t="n"/>
      <c r="S23" s="2" t="n"/>
      <c r="T23" s="2" t="n"/>
      <c r="U23" s="2" t="n"/>
      <c r="V23" s="2" t="n"/>
      <c r="W23" s="2" t="n"/>
      <c r="X23" s="2" t="n"/>
      <c r="Y23" s="2" t="n"/>
      <c r="Z23" s="2" t="n"/>
    </row>
    <row r="24" s="16">
      <c r="A24" s="5" t="inlineStr">
        <is>
          <t>XFRFUN-042</t>
        </is>
      </c>
      <c r="B24" s="5" t="inlineStr">
        <is>
          <t>XFRFUN</t>
        </is>
      </c>
      <c r="C24" s="5" t="inlineStr">
        <is>
          <t>1094-1095</t>
        </is>
      </c>
      <c r="D24" s="5" t="inlineStr">
        <is>
          <t>1097</t>
        </is>
      </c>
      <c r="E24" s="5" t="inlineStr">
        <is>
          <t>Check if SQLCODE indicates that Storm Drain processing is applicable in a workload if activated</t>
        </is>
      </c>
      <c r="F24" s="10" t="inlineStr">
        <is>
          <t xml:space="preserve">       PERFORM CHECK-FOR-STORM-DRAIN-DB2</t>
        </is>
      </c>
      <c r="G24" s="5" t="inlineStr">
        <is>
          <t>Procedural (sem decisão nem tratamento de falha)</t>
        </is>
      </c>
      <c r="H24" s="5" t="inlineStr">
        <is>
          <t>comentário delega lógica (PERFORM); comentário menciona condição: reavaliar</t>
        </is>
      </c>
      <c r="I24" s="14" t="inlineStr">
        <is>
          <t>Manter descartado</t>
        </is>
      </c>
      <c r="J24" s="2" t="n"/>
      <c r="K24" s="2" t="n"/>
      <c r="L24" s="2" t="n"/>
      <c r="M24" s="2" t="n"/>
      <c r="N24" s="2" t="n"/>
      <c r="O24" s="2" t="n"/>
      <c r="P24" s="2" t="n"/>
      <c r="Q24" s="2" t="n"/>
      <c r="R24" s="2" t="n"/>
      <c r="S24" s="2" t="n"/>
      <c r="T24" s="2" t="n"/>
      <c r="U24" s="2" t="n"/>
      <c r="V24" s="2" t="n"/>
      <c r="W24" s="2" t="n"/>
      <c r="X24" s="2" t="n"/>
      <c r="Y24" s="2" t="n"/>
      <c r="Z24" s="2" t="n"/>
    </row>
    <row r="25" s="16">
      <c r="A25" s="5" t="inlineStr">
        <is>
          <t>XFRFUN-051</t>
        </is>
      </c>
      <c r="B25" s="5" t="inlineStr">
        <is>
          <t>XFRFUN</t>
        </is>
      </c>
      <c r="C25" s="5" t="inlineStr">
        <is>
          <t>1354-1355</t>
        </is>
      </c>
      <c r="D25" s="5" t="inlineStr">
        <is>
          <t>1357-1378</t>
        </is>
      </c>
      <c r="E25" s="5" t="inlineStr">
        <is>
          <t>If the SELECT was successful, then amend the account balances and UPDATE the row back onto the ACCOUNT table.</t>
        </is>
      </c>
      <c r="F25" s="10" t="inlineStr">
        <is>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is>
      </c>
      <c r="G25" s="5" t="inlineStr">
        <is>
          <t>Procedural (sem decisão nem tratamento de falha)</t>
        </is>
      </c>
      <c r="H25" s="5" t="inlineStr">
        <is>
          <t>comentário menciona condição: reavaliar</t>
        </is>
      </c>
      <c r="I25" s="14" t="inlineStr">
        <is>
          <t>Reincluir</t>
        </is>
      </c>
      <c r="J25" s="2" t="n"/>
      <c r="K25" s="2" t="n"/>
      <c r="L25" s="2" t="n"/>
      <c r="M25" s="2" t="n"/>
      <c r="N25" s="2" t="n"/>
      <c r="O25" s="2" t="n"/>
      <c r="P25" s="2" t="n"/>
      <c r="Q25" s="2" t="n"/>
      <c r="R25" s="2" t="n"/>
      <c r="S25" s="2" t="n"/>
      <c r="T25" s="2" t="n"/>
      <c r="U25" s="2" t="n"/>
      <c r="V25" s="2" t="n"/>
      <c r="W25" s="2" t="n"/>
      <c r="X25" s="2" t="n"/>
      <c r="Y25" s="2" t="n"/>
      <c r="Z25" s="2" t="n"/>
    </row>
    <row r="26" s="16">
      <c r="A26" s="5" t="inlineStr">
        <is>
          <t>XFRFUN-058</t>
        </is>
      </c>
      <c r="B26" s="5" t="inlineStr">
        <is>
          <t>XFRFUN</t>
        </is>
      </c>
      <c r="C26" s="5" t="inlineStr">
        <is>
          <t>1552</t>
        </is>
      </c>
      <c r="D26" s="5" t="inlineStr">
        <is>
          <t>1554-1572</t>
        </is>
      </c>
      <c r="E26" s="5" t="inlineStr">
        <is>
          <t>Store the data away</t>
        </is>
      </c>
      <c r="F26" s="10" t="inlineStr">
        <is>
          <t xml:space="preserve">    MOVE HV-ACCOUNT-AVAIL-BAL  TO COMM-TAVBAL.
    MOVE HV-ACCOUNT-ACTUAL-BAL TO COMM-TACTBAL.
    MOVE 'Y' TO COMM-SUCCESS.
UADT999.
    EXIT.
WRITE-TO-PROCTRAN SECTION.
WTP010.
    PERFORM WRITE-TO-PROCTRAN-DB2.
WTP999.
    EXIT.
WRITE-TO-PROCTRAN-DB2 SECTION.
WTPD010.</t>
        </is>
      </c>
      <c r="G26" s="5" t="inlineStr">
        <is>
          <t>Procedural (sem decisão nem tratamento de falha)</t>
        </is>
      </c>
      <c r="H26" s="5" t="inlineStr">
        <is>
          <t>comentário delega lógica (PERFORM)</t>
        </is>
      </c>
      <c r="I26" s="14" t="inlineStr">
        <is>
          <t>Manter descartado</t>
        </is>
      </c>
      <c r="J26" s="2" t="n"/>
      <c r="K26" s="2" t="n"/>
      <c r="L26" s="2" t="n"/>
      <c r="M26" s="2" t="n"/>
      <c r="N26" s="2" t="n"/>
      <c r="O26" s="2" t="n"/>
      <c r="P26" s="2" t="n"/>
      <c r="Q26" s="2" t="n"/>
      <c r="R26" s="2" t="n"/>
      <c r="S26" s="2" t="n"/>
      <c r="T26" s="2" t="n"/>
      <c r="U26" s="2" t="n"/>
      <c r="V26" s="2" t="n"/>
      <c r="W26" s="2" t="n"/>
      <c r="X26" s="2" t="n"/>
      <c r="Y26" s="2" t="n"/>
      <c r="Z26" s="2" t="n"/>
    </row>
    <row r="27" s="16">
      <c r="A27" s="5" t="inlineStr">
        <is>
          <t>XFRFUN-059</t>
        </is>
      </c>
      <c r="B27" s="5" t="inlineStr">
        <is>
          <t>XFRFUN</t>
        </is>
      </c>
      <c r="C27" s="5" t="inlineStr">
        <is>
          <t>1574-1575</t>
        </is>
      </c>
      <c r="D27" s="5" t="inlineStr">
        <is>
          <t>1577-1584</t>
        </is>
      </c>
      <c r="E27" s="5" t="inlineStr">
        <is>
          <t>Writes details of the successful transfer to the PROCTRAN (Processed Transaction) datastore.</t>
        </is>
      </c>
      <c r="F27" s="10" t="inlineStr">
        <is>
          <t xml:space="preserve">    INITIALIZE HOST-PROCTRAN-ROW.
    INITIALIZE WS-EIBTASKN12.
    MOVE 'PRTR' TO HV-PROCTRAN-EYECATCHER.
    MOVE COMM-FSCODE TO HV-PROCTRAN-SORT-CODE.
    MOVE COMM-FACCNO TO HV-PROCTRAN-ACC-NUMBER.
    MOVE EIBTASKN TO WS-EIBTASKN12.
    MOVE WS-EIBTASKN12 TO HV-PROCTRAN-REF.</t>
        </is>
      </c>
      <c r="G27" s="5" t="inlineStr">
        <is>
          <t>Procedural (sem decisão nem tratamento de falha)</t>
        </is>
      </c>
      <c r="H27" s="5" t="inlineStr">
        <is>
          <t>comentário menciona condição: reavaliar</t>
        </is>
      </c>
      <c r="I27" s="14" t="inlineStr">
        <is>
          <t>Manter descartado</t>
        </is>
      </c>
      <c r="J27" s="2" t="n"/>
      <c r="K27" s="2" t="n"/>
      <c r="L27" s="2" t="n"/>
      <c r="M27" s="2" t="n"/>
      <c r="N27" s="2" t="n"/>
      <c r="O27" s="2" t="n"/>
      <c r="P27" s="2" t="n"/>
      <c r="Q27" s="2" t="n"/>
      <c r="R27" s="2" t="n"/>
      <c r="S27" s="2" t="n"/>
      <c r="T27" s="2" t="n"/>
      <c r="U27" s="2" t="n"/>
      <c r="V27" s="2" t="n"/>
      <c r="W27" s="2" t="n"/>
      <c r="X27" s="2" t="n"/>
      <c r="Y27" s="2" t="n"/>
      <c r="Z27" s="2" t="n"/>
    </row>
    <row r="28" s="16">
      <c r="A28" s="5" t="inlineStr">
        <is>
          <t>XFRFUN-060</t>
        </is>
      </c>
      <c r="B28" s="5" t="inlineStr">
        <is>
          <t>XFRFUN</t>
        </is>
      </c>
      <c r="C28" s="5" t="inlineStr">
        <is>
          <t>1587</t>
        </is>
      </c>
      <c r="D28" s="5" t="inlineStr">
        <is>
          <t>1589-1641</t>
        </is>
      </c>
      <c r="E28" s="5" t="inlineStr">
        <is>
          <t>Populate the time and date</t>
        </is>
      </c>
      <c r="F28" s="10" t="inlineStr">
        <is>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is>
      </c>
      <c r="G28" s="5" t="inlineStr">
        <is>
          <t>Procedural (sem decisão nem tratamento de falha)</t>
        </is>
      </c>
      <c r="H28" s="5" t="n"/>
      <c r="I28" s="14" t="inlineStr">
        <is>
          <t>Manter descartado</t>
        </is>
      </c>
      <c r="J28" s="2" t="n"/>
      <c r="K28" s="2" t="n"/>
      <c r="L28" s="2" t="n"/>
      <c r="M28" s="2" t="n"/>
      <c r="N28" s="2" t="n"/>
      <c r="O28" s="2" t="n"/>
      <c r="P28" s="2" t="n"/>
      <c r="Q28" s="2" t="n"/>
      <c r="R28" s="2" t="n"/>
      <c r="S28" s="2" t="n"/>
      <c r="T28" s="2" t="n"/>
      <c r="U28" s="2" t="n"/>
      <c r="V28" s="2" t="n"/>
      <c r="W28" s="2" t="n"/>
      <c r="X28" s="2" t="n"/>
      <c r="Y28" s="2" t="n"/>
      <c r="Z28" s="2" t="n"/>
    </row>
    <row r="29" s="16">
      <c r="A29" s="5" t="inlineStr">
        <is>
          <t>XFRFUN-066</t>
        </is>
      </c>
      <c r="B29" s="5" t="inlineStr">
        <is>
          <t>XFRFUN</t>
        </is>
      </c>
      <c r="C29" s="5" t="inlineStr">
        <is>
          <t>1772</t>
        </is>
      </c>
      <c r="D29" s="5" t="inlineStr">
        <is>
          <t>1774-1776</t>
        </is>
      </c>
      <c r="E29" s="5" t="inlineStr">
        <is>
          <t>Deal with any abends</t>
        </is>
      </c>
      <c r="F29" s="10" t="inlineStr">
        <is>
          <t xml:space="preserve">    EXEC CICS ASSIGN
       ABCODE(MY-ABEND-CODE)
    END-EXEC.</t>
        </is>
      </c>
      <c r="G29" s="5" t="inlineStr">
        <is>
          <t>Procedural (sem decisão nem tratamento de falha)</t>
        </is>
      </c>
      <c r="H29" s="5" t="n"/>
      <c r="I29" s="14" t="inlineStr">
        <is>
          <t>Manter descartado</t>
        </is>
      </c>
      <c r="J29" s="2" t="n"/>
      <c r="K29" s="2" t="n"/>
      <c r="L29" s="2" t="n"/>
      <c r="M29" s="2" t="n"/>
      <c r="N29" s="2" t="n"/>
      <c r="O29" s="2" t="n"/>
      <c r="P29" s="2" t="n"/>
      <c r="Q29" s="2" t="n"/>
      <c r="R29" s="2" t="n"/>
      <c r="S29" s="2" t="n"/>
      <c r="T29" s="2" t="n"/>
      <c r="U29" s="2" t="n"/>
      <c r="V29" s="2" t="n"/>
      <c r="W29" s="2" t="n"/>
      <c r="X29" s="2" t="n"/>
      <c r="Y29" s="2" t="n"/>
      <c r="Z29" s="2" t="n"/>
    </row>
    <row r="30" s="16">
      <c r="A30" s="5" t="inlineStr">
        <is>
          <t>BNK1CRA-010</t>
        </is>
      </c>
      <c r="B30" s="5" t="inlineStr">
        <is>
          <t>BNK1CRA</t>
        </is>
      </c>
      <c r="C30" s="5" t="inlineStr">
        <is>
          <t>282</t>
        </is>
      </c>
      <c r="D30" s="5" t="inlineStr">
        <is>
          <t>284-335</t>
        </is>
      </c>
      <c r="E30" s="5" t="inlineStr">
        <is>
          <t>Get supplemental information</t>
        </is>
      </c>
      <c r="F30"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
       MOVE 'BNK1CRA - A010 - RETURN TRANSID(OCRA) FAIL' TO
          WS-CICS-FAIL-MSG
       MOVE WS-CICS-RESP  TO WS-CICS-RESP-DISP
       MOVE WS-CICS-RESP2 TO WS-CICS-RESP2-DISP
       PERFORM ABEND-THIS-TASK
    END-IF.
A999.
    EXIT.
PROCESS-MAP SECTION.
PM010.</t>
        </is>
      </c>
      <c r="G30" s="5" t="inlineStr">
        <is>
          <t>Procedural (sem decisão nem tratamento de falha)</t>
        </is>
      </c>
      <c r="H30" s="5" t="inlineStr">
        <is>
          <t>comentário curto; comentário delega lógica (PERFORM)</t>
        </is>
      </c>
      <c r="I30" s="14" t="inlineStr">
        <is>
          <t>Manter descartado</t>
        </is>
      </c>
      <c r="J30" s="2" t="n"/>
      <c r="K30" s="2" t="n"/>
      <c r="L30" s="2" t="n"/>
      <c r="M30" s="2" t="n"/>
      <c r="N30" s="2" t="n"/>
      <c r="O30" s="2" t="n"/>
      <c r="P30" s="2" t="n"/>
      <c r="Q30" s="2" t="n"/>
      <c r="R30" s="2" t="n"/>
      <c r="S30" s="2" t="n"/>
      <c r="T30" s="2" t="n"/>
      <c r="U30" s="2" t="n"/>
      <c r="V30" s="2" t="n"/>
      <c r="W30" s="2" t="n"/>
      <c r="X30" s="2" t="n"/>
      <c r="Y30" s="2" t="n"/>
      <c r="Z30" s="2" t="n"/>
    </row>
    <row r="31" s="16">
      <c r="A31" s="5" t="inlineStr">
        <is>
          <t>BNK1CRA-011</t>
        </is>
      </c>
      <c r="B31" s="5" t="inlineStr">
        <is>
          <t>BNK1CRA</t>
        </is>
      </c>
      <c r="C31" s="5" t="inlineStr">
        <is>
          <t>337</t>
        </is>
      </c>
      <c r="D31" s="5" t="inlineStr">
        <is>
          <t>339</t>
        </is>
      </c>
      <c r="E31" s="5" t="inlineStr">
        <is>
          <t>Retrieve the data from the map</t>
        </is>
      </c>
      <c r="F31" s="10" t="inlineStr">
        <is>
          <t xml:space="preserve">    PERFORM RECEIVE-MAP.</t>
        </is>
      </c>
      <c r="G31" s="5" t="inlineStr">
        <is>
          <t>Procedural (sem decisão nem tratamento de falha)</t>
        </is>
      </c>
      <c r="H31" s="5" t="inlineStr">
        <is>
          <t>comentário delega lógica (PERFORM)</t>
        </is>
      </c>
      <c r="I31" s="14" t="inlineStr">
        <is>
          <t>Manter descartado</t>
        </is>
      </c>
      <c r="J31" s="2" t="n"/>
      <c r="K31" s="2" t="n"/>
      <c r="L31" s="2" t="n"/>
      <c r="M31" s="2" t="n"/>
      <c r="N31" s="2" t="n"/>
      <c r="O31" s="2" t="n"/>
      <c r="P31" s="2" t="n"/>
      <c r="Q31" s="2" t="n"/>
      <c r="R31" s="2" t="n"/>
      <c r="S31" s="2" t="n"/>
      <c r="T31" s="2" t="n"/>
      <c r="U31" s="2" t="n"/>
      <c r="V31" s="2" t="n"/>
      <c r="W31" s="2" t="n"/>
      <c r="X31" s="2" t="n"/>
      <c r="Y31" s="2" t="n"/>
      <c r="Z31" s="2" t="n"/>
    </row>
    <row r="32" s="16">
      <c r="A32" s="5" t="inlineStr">
        <is>
          <t>BNK1CRA-012</t>
        </is>
      </c>
      <c r="B32" s="5" t="inlineStr">
        <is>
          <t>BNK1CRA</t>
        </is>
      </c>
      <c r="C32" s="5" t="inlineStr">
        <is>
          <t>342</t>
        </is>
      </c>
      <c r="D32" s="5" t="inlineStr">
        <is>
          <t>344</t>
        </is>
      </c>
      <c r="E32" s="5" t="inlineStr">
        <is>
          <t>Validate the received data</t>
        </is>
      </c>
      <c r="F32" s="10" t="inlineStr">
        <is>
          <t xml:space="preserve">    PERFORM EDIT-DATA.</t>
        </is>
      </c>
      <c r="G32" s="5" t="inlineStr">
        <is>
          <t>Procedural (sem decisão nem tratamento de falha)</t>
        </is>
      </c>
      <c r="H32" s="5" t="inlineStr">
        <is>
          <t>comentário delega lógica (PERFORM)</t>
        </is>
      </c>
      <c r="I32" s="14" t="inlineStr">
        <is>
          <t>Manter descartado</t>
        </is>
      </c>
      <c r="J32" s="2" t="n"/>
      <c r="K32" s="2" t="n"/>
      <c r="L32" s="2" t="n"/>
      <c r="M32" s="2" t="n"/>
      <c r="N32" s="2" t="n"/>
      <c r="O32" s="2" t="n"/>
      <c r="P32" s="2" t="n"/>
      <c r="Q32" s="2" t="n"/>
      <c r="R32" s="2" t="n"/>
      <c r="S32" s="2" t="n"/>
      <c r="T32" s="2" t="n"/>
      <c r="U32" s="2" t="n"/>
      <c r="V32" s="2" t="n"/>
      <c r="W32" s="2" t="n"/>
      <c r="X32" s="2" t="n"/>
      <c r="Y32" s="2" t="n"/>
      <c r="Z32" s="2" t="n"/>
    </row>
    <row r="33" s="16">
      <c r="A33" s="5" t="inlineStr">
        <is>
          <t>BNK1CRA-014</t>
        </is>
      </c>
      <c r="B33" s="5" t="inlineStr">
        <is>
          <t>BNK1CRA</t>
        </is>
      </c>
      <c r="C33" s="5" t="inlineStr">
        <is>
          <t>357</t>
        </is>
      </c>
      <c r="D33" s="5" t="inlineStr">
        <is>
          <t>359-366</t>
        </is>
      </c>
      <c r="E33" s="5" t="inlineStr">
        <is>
          <t>Output the data to the screen</t>
        </is>
      </c>
      <c r="F33" s="10" t="inlineStr">
        <is>
          <t xml:space="preserve">    PERFORM SEND-MAP.
PM999.
    EXIT.
RECEIVE-MAP SECTION.
RM010.</t>
        </is>
      </c>
      <c r="G33" s="5" t="inlineStr">
        <is>
          <t>Procedural (sem decisão nem tratamento de falha)</t>
        </is>
      </c>
      <c r="H33" s="5" t="inlineStr">
        <is>
          <t>comentário delega lógica (PERFORM)</t>
        </is>
      </c>
      <c r="I33" s="14" t="inlineStr">
        <is>
          <t>Manter descartado</t>
        </is>
      </c>
      <c r="J33" s="2" t="n"/>
      <c r="K33" s="2" t="n"/>
      <c r="L33" s="2" t="n"/>
      <c r="M33" s="2" t="n"/>
      <c r="N33" s="2" t="n"/>
      <c r="O33" s="2" t="n"/>
      <c r="P33" s="2" t="n"/>
      <c r="Q33" s="2" t="n"/>
      <c r="R33" s="2" t="n"/>
      <c r="S33" s="2" t="n"/>
      <c r="T33" s="2" t="n"/>
      <c r="U33" s="2" t="n"/>
      <c r="V33" s="2" t="n"/>
      <c r="W33" s="2" t="n"/>
      <c r="X33" s="2" t="n"/>
      <c r="Y33" s="2" t="n"/>
      <c r="Z33" s="2" t="n"/>
    </row>
    <row r="34" s="16">
      <c r="A34" s="5" t="inlineStr">
        <is>
          <t>BNK1CRA-017</t>
        </is>
      </c>
      <c r="B34" s="5" t="inlineStr">
        <is>
          <t>BNK1CRA</t>
        </is>
      </c>
      <c r="C34" s="5" t="inlineStr">
        <is>
          <t>389</t>
        </is>
      </c>
      <c r="D34" s="5" t="inlineStr">
        <is>
          <t>391-442</t>
        </is>
      </c>
      <c r="E34" s="5" t="inlineStr">
        <is>
          <t>Get supplemental information</t>
        </is>
      </c>
      <c r="F34"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t>
        </is>
      </c>
      <c r="G34" s="5" t="inlineStr">
        <is>
          <t>Procedural (sem decisão nem tratamento de falha)</t>
        </is>
      </c>
      <c r="H34" s="5" t="inlineStr">
        <is>
          <t>comentário curto; comentário delega lógica (PERFORM)</t>
        </is>
      </c>
      <c r="I34" s="14" t="inlineStr">
        <is>
          <t>Manter descartado</t>
        </is>
      </c>
      <c r="J34" s="2" t="n"/>
      <c r="K34" s="2" t="n"/>
      <c r="L34" s="2" t="n"/>
      <c r="M34" s="2" t="n"/>
      <c r="N34" s="2" t="n"/>
      <c r="O34" s="2" t="n"/>
      <c r="P34" s="2" t="n"/>
      <c r="Q34" s="2" t="n"/>
      <c r="R34" s="2" t="n"/>
      <c r="S34" s="2" t="n"/>
      <c r="T34" s="2" t="n"/>
      <c r="U34" s="2" t="n"/>
      <c r="V34" s="2" t="n"/>
      <c r="W34" s="2" t="n"/>
      <c r="X34" s="2" t="n"/>
      <c r="Y34" s="2" t="n"/>
      <c r="Z34" s="2" t="n"/>
    </row>
    <row r="35" s="16">
      <c r="A35" s="5" t="inlineStr">
        <is>
          <t>BNK1CRA-019</t>
        </is>
      </c>
      <c r="B35" s="5" t="inlineStr">
        <is>
          <t>BNK1CRA</t>
        </is>
      </c>
      <c r="C35" s="5" t="inlineStr">
        <is>
          <t>472</t>
        </is>
      </c>
      <c r="D35" s="5" t="inlineStr">
        <is>
          <t>474-481</t>
        </is>
      </c>
      <c r="E35" s="5" t="inlineStr">
        <is>
          <t>Validate the Amount entered</t>
        </is>
      </c>
      <c r="F35" s="10" t="inlineStr">
        <is>
          <t xml:space="preserve">    PERFORM VALIDATE-AMOUNT.
ED999.
    EXIT.
UPD-CRED-DATA SECTION.
UCD010.</t>
        </is>
      </c>
      <c r="G35" s="5" t="inlineStr">
        <is>
          <t>Procedural (sem decisão nem tratamento de falha)</t>
        </is>
      </c>
      <c r="H35" s="5" t="inlineStr">
        <is>
          <t>comentário delega lógica (PERFORM)</t>
        </is>
      </c>
      <c r="I35" s="14" t="inlineStr">
        <is>
          <t>Manter descartado</t>
        </is>
      </c>
      <c r="J35" s="2" t="n"/>
      <c r="K35" s="2" t="n"/>
      <c r="L35" s="2" t="n"/>
      <c r="M35" s="2" t="n"/>
      <c r="N35" s="2" t="n"/>
      <c r="O35" s="2" t="n"/>
      <c r="P35" s="2" t="n"/>
      <c r="Q35" s="2" t="n"/>
      <c r="R35" s="2" t="n"/>
      <c r="S35" s="2" t="n"/>
      <c r="T35" s="2" t="n"/>
      <c r="U35" s="2" t="n"/>
      <c r="V35" s="2" t="n"/>
      <c r="W35" s="2" t="n"/>
      <c r="X35" s="2" t="n"/>
      <c r="Y35" s="2" t="n"/>
      <c r="Z35" s="2" t="n"/>
    </row>
    <row r="36" s="16">
      <c r="A36" s="5" t="inlineStr">
        <is>
          <t>BNK1CRA-020</t>
        </is>
      </c>
      <c r="B36" s="5" t="inlineStr">
        <is>
          <t>BNK1CRA</t>
        </is>
      </c>
      <c r="C36" s="5" t="inlineStr">
        <is>
          <t>483-484</t>
        </is>
      </c>
      <c r="D36" s="5" t="inlineStr">
        <is>
          <t>486-489</t>
        </is>
      </c>
      <c r="E36" s="5" t="inlineStr">
        <is>
          <t>Set up the COMMAREA fields required by DBCRFUN and then link to it.</t>
        </is>
      </c>
      <c r="F36" s="10" t="inlineStr">
        <is>
          <t xml:space="preserve">    INITIALIZE SUBPGM-PARMS.
    MOVE ACCNOI TO SUBPGM-ACCNO.
    MOVE 0 TO SUBPGM-AMT.</t>
        </is>
      </c>
      <c r="G36" s="5" t="inlineStr">
        <is>
          <t>Procedural (sem decisão nem tratamento de falha)</t>
        </is>
      </c>
      <c r="H36" s="5" t="n"/>
      <c r="I36" s="14" t="inlineStr">
        <is>
          <t>Manter descartado</t>
        </is>
      </c>
      <c r="J36" s="2" t="n"/>
      <c r="K36" s="2" t="n"/>
      <c r="L36" s="2" t="n"/>
      <c r="M36" s="2" t="n"/>
      <c r="N36" s="2" t="n"/>
      <c r="O36" s="2" t="n"/>
      <c r="P36" s="2" t="n"/>
      <c r="Q36" s="2" t="n"/>
      <c r="R36" s="2" t="n"/>
      <c r="S36" s="2" t="n"/>
      <c r="T36" s="2" t="n"/>
      <c r="U36" s="2" t="n"/>
      <c r="V36" s="2" t="n"/>
      <c r="W36" s="2" t="n"/>
      <c r="X36" s="2" t="n"/>
      <c r="Y36" s="2" t="n"/>
      <c r="Z36" s="2" t="n"/>
    </row>
    <row r="37" s="16">
      <c r="A37" s="5" t="inlineStr">
        <is>
          <t>BNK1CRA-024</t>
        </is>
      </c>
      <c r="B37" s="5" t="inlineStr">
        <is>
          <t>BNK1CRA</t>
        </is>
      </c>
      <c r="C37" s="5" t="inlineStr">
        <is>
          <t>530</t>
        </is>
      </c>
      <c r="D37" s="5" t="inlineStr">
        <is>
          <t>532-576</t>
        </is>
      </c>
      <c r="E37" s="5" t="inlineStr">
        <is>
          <t>Get supplemental information</t>
        </is>
      </c>
      <c r="F37"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
       MOVE 'BNK1CRA - UCD010 - LINK DBCRFUN  FAIL      '
          TO WS-CICS-FAIL-MSG
       MOVE WS-CICS-RESP  TO WS-CICS-RESP-DISP
       MOVE WS-CICS-RESP2 TO WS-CICS-RESP2-DISP
       PERFORM ABEND-THIS-TASK
    END-IF.</t>
        </is>
      </c>
      <c r="G37" s="5" t="inlineStr">
        <is>
          <t>Procedural (sem decisão nem tratamento de falha)</t>
        </is>
      </c>
      <c r="H37" s="5" t="inlineStr">
        <is>
          <t>comentário curto; comentário delega lógica (PERFORM)</t>
        </is>
      </c>
      <c r="I37" s="14" t="inlineStr">
        <is>
          <t>Manter descartado</t>
        </is>
      </c>
      <c r="J37" s="2" t="n"/>
      <c r="K37" s="2" t="n"/>
      <c r="L37" s="2" t="n"/>
      <c r="M37" s="2" t="n"/>
      <c r="N37" s="2" t="n"/>
      <c r="O37" s="2" t="n"/>
      <c r="P37" s="2" t="n"/>
      <c r="Q37" s="2" t="n"/>
      <c r="R37" s="2" t="n"/>
      <c r="S37" s="2" t="n"/>
      <c r="T37" s="2" t="n"/>
      <c r="U37" s="2" t="n"/>
      <c r="V37" s="2" t="n"/>
      <c r="W37" s="2" t="n"/>
      <c r="X37" s="2" t="n"/>
      <c r="Y37" s="2" t="n"/>
      <c r="Z37" s="2" t="n"/>
    </row>
    <row r="38" s="16">
      <c r="A38" s="5" t="inlineStr">
        <is>
          <t>BNK1CRA-026</t>
        </is>
      </c>
      <c r="B38" s="5" t="inlineStr">
        <is>
          <t>BNK1CRA</t>
        </is>
      </c>
      <c r="C38" s="5" t="inlineStr">
        <is>
          <t>629</t>
        </is>
      </c>
      <c r="D38" s="5" t="inlineStr">
        <is>
          <t>631-644</t>
        </is>
      </c>
      <c r="E38" s="5" t="inlineStr">
        <is>
          <t>Set up the values on the map</t>
        </is>
      </c>
      <c r="F38" s="10" t="inlineStr">
        <is>
          <t xml:space="preserve">    MOVE SUBPGM-ACCNO       TO ACCNOO.
    MOVE SUBPGM-SORTC       TO SORTCO.
    MOVE SUBPGM-ACT-BAL    TO ACTUAL-BALANCE-DISPLAY.
    MOVE SUBPGM-AV-BAL     TO AVAILABLE-BALANCE-DISPLAY.
    MOVE ACTUAL-BALANCE-DISPLAY      TO ACTBALO.
    MOVE AVAILABLE-BALANCE-DISPLAY   TO AVBALO.
UCD999.
    EXIT.
SEND-MAP SECTION.
SM010.</t>
        </is>
      </c>
      <c r="G38" s="5" t="inlineStr">
        <is>
          <t>Procedural (sem decisão nem tratamento de falha)</t>
        </is>
      </c>
      <c r="H38" s="5" t="n"/>
      <c r="I38" s="14" t="inlineStr">
        <is>
          <t>Manter descartado</t>
        </is>
      </c>
      <c r="J38" s="2" t="n"/>
      <c r="K38" s="2" t="n"/>
      <c r="L38" s="2" t="n"/>
      <c r="M38" s="2" t="n"/>
      <c r="N38" s="2" t="n"/>
      <c r="O38" s="2" t="n"/>
      <c r="P38" s="2" t="n"/>
      <c r="Q38" s="2" t="n"/>
      <c r="R38" s="2" t="n"/>
      <c r="S38" s="2" t="n"/>
      <c r="T38" s="2" t="n"/>
      <c r="U38" s="2" t="n"/>
      <c r="V38" s="2" t="n"/>
      <c r="W38" s="2" t="n"/>
      <c r="X38" s="2" t="n"/>
      <c r="Y38" s="2" t="n"/>
      <c r="Z38" s="2" t="n"/>
    </row>
    <row r="39" s="16">
      <c r="A39" s="5" t="inlineStr">
        <is>
          <t>BNK1CRA-029</t>
        </is>
      </c>
      <c r="B39" s="5" t="inlineStr">
        <is>
          <t>BNK1CRA</t>
        </is>
      </c>
      <c r="C39" s="5" t="inlineStr">
        <is>
          <t>668</t>
        </is>
      </c>
      <c r="D39" s="5" t="inlineStr">
        <is>
          <t>670-717</t>
        </is>
      </c>
      <c r="E39" s="5" t="inlineStr">
        <is>
          <t>Get supplemental information</t>
        </is>
      </c>
      <c r="F39"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'BNK1CRA - SM010 - SEND MAP ERASE FAIL '
             TO WS-CICS-FAIL-MSG
          MOVE WS-CICS-RESP  TO WS-CICS-RESP-DISP
          MOVE WS-CICS-RESP2 TO WS-CICS-RESP2-DISP
          PERFORM ABEND-THIS-TASK
       END-IF
       GO TO SM999
    END-IF.</t>
        </is>
      </c>
      <c r="G39" s="5" t="inlineStr">
        <is>
          <t>Procedural (sem decisão nem tratamento de falha)</t>
        </is>
      </c>
      <c r="H39" s="5" t="inlineStr">
        <is>
          <t>comentário curto; comentário delega lógica (PERFORM); contém GO TO (desvio incondicional)</t>
        </is>
      </c>
      <c r="I39" s="14" t="inlineStr">
        <is>
          <t>Manter descartado</t>
        </is>
      </c>
      <c r="J39" s="2" t="n"/>
      <c r="K39" s="2" t="n"/>
      <c r="L39" s="2" t="n"/>
      <c r="M39" s="2" t="n"/>
      <c r="N39" s="2" t="n"/>
      <c r="O39" s="2" t="n"/>
      <c r="P39" s="2" t="n"/>
      <c r="Q39" s="2" t="n"/>
      <c r="R39" s="2" t="n"/>
      <c r="S39" s="2" t="n"/>
      <c r="T39" s="2" t="n"/>
      <c r="U39" s="2" t="n"/>
      <c r="V39" s="2" t="n"/>
      <c r="W39" s="2" t="n"/>
      <c r="X39" s="2" t="n"/>
      <c r="Y39" s="2" t="n"/>
      <c r="Z39" s="2" t="n"/>
    </row>
    <row r="40" s="16">
      <c r="A40" s="5" t="inlineStr">
        <is>
          <t>BNK1CRA-032</t>
        </is>
      </c>
      <c r="B40" s="5" t="inlineStr">
        <is>
          <t>BNK1CRA</t>
        </is>
      </c>
      <c r="C40" s="5" t="inlineStr">
        <is>
          <t>742</t>
        </is>
      </c>
      <c r="D40" s="5" t="inlineStr">
        <is>
          <t>744-791</t>
        </is>
      </c>
      <c r="E40" s="5" t="inlineStr">
        <is>
          <t>Get supplemental information</t>
        </is>
      </c>
      <c r="F40"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FAIL '
             TO WS-CICS-FAIL-MSG
          MOVE WS-CICS-RESP  TO WS-CICS-RESP-DISP
          MOVE WS-CICS-RESP2 TO WS-CICS-RESP2-DISP
          PERFORM ABEND-THIS-TASK
       END-IF
       GO TO SM999
    END-IF.</t>
        </is>
      </c>
      <c r="G40" s="5" t="inlineStr">
        <is>
          <t>Procedural (sem decisão nem tratamento de falha)</t>
        </is>
      </c>
      <c r="H40" s="5" t="inlineStr">
        <is>
          <t>comentário curto; comentário delega lógica (PERFORM); contém GO TO (desvio incondicional)</t>
        </is>
      </c>
      <c r="I40" s="14" t="inlineStr">
        <is>
          <t>Manter descartado</t>
        </is>
      </c>
      <c r="J40" s="2" t="n"/>
      <c r="K40" s="2" t="n"/>
      <c r="L40" s="2" t="n"/>
      <c r="M40" s="2" t="n"/>
      <c r="N40" s="2" t="n"/>
      <c r="O40" s="2" t="n"/>
      <c r="P40" s="2" t="n"/>
      <c r="Q40" s="2" t="n"/>
      <c r="R40" s="2" t="n"/>
      <c r="S40" s="2" t="n"/>
      <c r="T40" s="2" t="n"/>
      <c r="U40" s="2" t="n"/>
      <c r="V40" s="2" t="n"/>
      <c r="W40" s="2" t="n"/>
      <c r="X40" s="2" t="n"/>
      <c r="Y40" s="2" t="n"/>
      <c r="Z40" s="2" t="n"/>
    </row>
    <row r="41" s="16">
      <c r="A41" s="5" t="inlineStr">
        <is>
          <t>BNK1CRA-035</t>
        </is>
      </c>
      <c r="B41" s="5" t="inlineStr">
        <is>
          <t>BNK1CRA</t>
        </is>
      </c>
      <c r="C41" s="5" t="inlineStr">
        <is>
          <t>817</t>
        </is>
      </c>
      <c r="D41" s="5" t="inlineStr">
        <is>
          <t>819-872</t>
        </is>
      </c>
      <c r="E41" s="5" t="inlineStr">
        <is>
          <t>Get supplemental information</t>
        </is>
      </c>
      <c r="F41"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ALARM FAIL '
             TO WS-CICS-FAIL-MSG
          MOVE WS-CICS-RESP  TO WS-CICS-RESP-DISP
          MOVE WS-CICS-RESP2 TO WS-CICS-RESP2-DISP
          PERFORM ABEND-THIS-TASK
       END-IF
    END-IF.
SM999.
    EXIT.
SEND-TERMINATION-MSG SECTION.
STM010.</t>
        </is>
      </c>
      <c r="G41" s="5" t="inlineStr">
        <is>
          <t>Procedural (sem decisão nem tratamento de falha)</t>
        </is>
      </c>
      <c r="H41" s="5" t="inlineStr">
        <is>
          <t>comentário curto; comentário delega lógica (PERFORM)</t>
        </is>
      </c>
      <c r="I41" s="14" t="inlineStr">
        <is>
          <t>Manter descartado</t>
        </is>
      </c>
      <c r="J41" s="2" t="n"/>
      <c r="K41" s="2" t="n"/>
      <c r="L41" s="2" t="n"/>
      <c r="M41" s="2" t="n"/>
      <c r="N41" s="2" t="n"/>
      <c r="O41" s="2" t="n"/>
      <c r="P41" s="2" t="n"/>
      <c r="Q41" s="2" t="n"/>
      <c r="R41" s="2" t="n"/>
      <c r="S41" s="2" t="n"/>
      <c r="T41" s="2" t="n"/>
      <c r="U41" s="2" t="n"/>
      <c r="V41" s="2" t="n"/>
      <c r="W41" s="2" t="n"/>
      <c r="X41" s="2" t="n"/>
      <c r="Y41" s="2" t="n"/>
      <c r="Z41" s="2" t="n"/>
    </row>
    <row r="42" s="16">
      <c r="A42" s="5" t="inlineStr">
        <is>
          <t>BNK1TFN-008</t>
        </is>
      </c>
      <c r="B42" s="5" t="inlineStr">
        <is>
          <t>BNK1TFN</t>
        </is>
      </c>
      <c r="C42" s="5" t="inlineStr">
        <is>
          <t>238</t>
        </is>
      </c>
      <c r="D42" s="5" t="inlineStr">
        <is>
          <t>239-242</t>
        </is>
      </c>
      <c r="E42" s="5" t="inlineStr">
        <is>
          <t>MOVE 10 TO CUSTNOL</t>
        </is>
      </c>
      <c r="F42" s="10" t="inlineStr">
        <is>
          <t xml:space="preserve">          SET SEND-DATAONLY-ALARM TO TRUE
          PERFORM SEND-MAP
    END-EVALUATE.</t>
        </is>
      </c>
      <c r="G42" s="5" t="inlineStr">
        <is>
          <t>Procedural (sem decisão nem tratamento de falha)</t>
        </is>
      </c>
      <c r="H42" s="5" t="inlineStr">
        <is>
          <t>possível código desativado; comentário delega lógica (PERFORM)</t>
        </is>
      </c>
      <c r="I42" s="14" t="inlineStr">
        <is>
          <t>Manter descartado</t>
        </is>
      </c>
      <c r="J42" s="2" t="n"/>
      <c r="K42" s="2" t="n"/>
      <c r="L42" s="2" t="n"/>
      <c r="M42" s="2" t="n"/>
      <c r="N42" s="2" t="n"/>
      <c r="O42" s="2" t="n"/>
      <c r="P42" s="2" t="n"/>
      <c r="Q42" s="2" t="n"/>
      <c r="R42" s="2" t="n"/>
      <c r="S42" s="2" t="n"/>
      <c r="T42" s="2" t="n"/>
      <c r="U42" s="2" t="n"/>
      <c r="V42" s="2" t="n"/>
      <c r="W42" s="2" t="n"/>
      <c r="X42" s="2" t="n"/>
      <c r="Y42" s="2" t="n"/>
      <c r="Z42" s="2" t="n"/>
    </row>
    <row r="43" s="16">
      <c r="A43" s="5" t="inlineStr">
        <is>
          <t>BNK1TFN-011</t>
        </is>
      </c>
      <c r="B43" s="5" t="inlineStr">
        <is>
          <t>BNK1TFN</t>
        </is>
      </c>
      <c r="C43" s="5" t="inlineStr">
        <is>
          <t>266</t>
        </is>
      </c>
      <c r="D43" s="5" t="inlineStr">
        <is>
          <t>268-320</t>
        </is>
      </c>
      <c r="E43" s="5" t="inlineStr">
        <is>
          <t>Get supplemental information</t>
        </is>
      </c>
      <c r="F43"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t>
        </is>
      </c>
      <c r="G43" s="5" t="inlineStr">
        <is>
          <t>Procedural (sem decisão nem tratamento de falha)</t>
        </is>
      </c>
      <c r="H43" s="5" t="inlineStr">
        <is>
          <t>comentário curto; comentário delega lógica (PERFORM)</t>
        </is>
      </c>
      <c r="I43" s="14" t="inlineStr">
        <is>
          <t>Manter descartado</t>
        </is>
      </c>
      <c r="J43" s="2" t="n"/>
      <c r="K43" s="2" t="n"/>
      <c r="L43" s="2" t="n"/>
      <c r="M43" s="2" t="n"/>
      <c r="N43" s="2" t="n"/>
      <c r="O43" s="2" t="n"/>
      <c r="P43" s="2" t="n"/>
      <c r="Q43" s="2" t="n"/>
      <c r="R43" s="2" t="n"/>
      <c r="S43" s="2" t="n"/>
      <c r="T43" s="2" t="n"/>
      <c r="U43" s="2" t="n"/>
      <c r="V43" s="2" t="n"/>
      <c r="W43" s="2" t="n"/>
      <c r="X43" s="2" t="n"/>
      <c r="Y43" s="2" t="n"/>
      <c r="Z43" s="2" t="n"/>
    </row>
    <row r="44" s="16">
      <c r="A44" s="5" t="inlineStr">
        <is>
          <t>BNK1TFN-012</t>
        </is>
      </c>
      <c r="B44" s="5" t="inlineStr">
        <is>
          <t>BNK1TFN</t>
        </is>
      </c>
      <c r="C44" s="5" t="inlineStr">
        <is>
          <t>322</t>
        </is>
      </c>
      <c r="D44" s="5" t="inlineStr">
        <is>
          <t>325</t>
        </is>
      </c>
      <c r="E44" s="5" t="inlineStr">
        <is>
          <t>Retrieve the data from the map</t>
        </is>
      </c>
      <c r="F44" s="10" t="inlineStr">
        <is>
          <t xml:space="preserve">    PERFORM RECEIVE-MAP.</t>
        </is>
      </c>
      <c r="G44" s="5" t="inlineStr">
        <is>
          <t>Procedural (sem decisão nem tratamento de falha)</t>
        </is>
      </c>
      <c r="H44" s="5" t="inlineStr">
        <is>
          <t>comentário delega lógica (PERFORM)</t>
        </is>
      </c>
      <c r="I44" s="14" t="inlineStr">
        <is>
          <t>Manter descartado</t>
        </is>
      </c>
      <c r="J44" s="2" t="n"/>
      <c r="K44" s="2" t="n"/>
      <c r="L44" s="2" t="n"/>
      <c r="M44" s="2" t="n"/>
      <c r="N44" s="2" t="n"/>
      <c r="O44" s="2" t="n"/>
      <c r="P44" s="2" t="n"/>
      <c r="Q44" s="2" t="n"/>
      <c r="R44" s="2" t="n"/>
      <c r="S44" s="2" t="n"/>
      <c r="T44" s="2" t="n"/>
      <c r="U44" s="2" t="n"/>
      <c r="V44" s="2" t="n"/>
      <c r="W44" s="2" t="n"/>
      <c r="X44" s="2" t="n"/>
      <c r="Y44" s="2" t="n"/>
      <c r="Z44" s="2" t="n"/>
    </row>
    <row r="45" s="16">
      <c r="A45" s="5" t="inlineStr">
        <is>
          <t>BNK1TFN-013</t>
        </is>
      </c>
      <c r="B45" s="5" t="inlineStr">
        <is>
          <t>BNK1TFN</t>
        </is>
      </c>
      <c r="C45" s="5" t="inlineStr">
        <is>
          <t>328</t>
        </is>
      </c>
      <c r="D45" s="5" t="inlineStr">
        <is>
          <t>330</t>
        </is>
      </c>
      <c r="E45" s="5" t="inlineStr">
        <is>
          <t>Validate the received data</t>
        </is>
      </c>
      <c r="F45" s="10" t="inlineStr">
        <is>
          <t xml:space="preserve">    PERFORM EDIT-DATA.</t>
        </is>
      </c>
      <c r="G45" s="5" t="inlineStr">
        <is>
          <t>Procedural (sem decisão nem tratamento de falha)</t>
        </is>
      </c>
      <c r="H45" s="5" t="inlineStr">
        <is>
          <t>comentário delega lógica (PERFORM)</t>
        </is>
      </c>
      <c r="I45" s="14" t="inlineStr">
        <is>
          <t>Manter descartado</t>
        </is>
      </c>
      <c r="J45" s="2" t="n"/>
      <c r="K45" s="2" t="n"/>
      <c r="L45" s="2" t="n"/>
      <c r="M45" s="2" t="n"/>
      <c r="N45" s="2" t="n"/>
      <c r="O45" s="2" t="n"/>
      <c r="P45" s="2" t="n"/>
      <c r="Q45" s="2" t="n"/>
      <c r="R45" s="2" t="n"/>
      <c r="S45" s="2" t="n"/>
      <c r="T45" s="2" t="n"/>
      <c r="U45" s="2" t="n"/>
      <c r="V45" s="2" t="n"/>
      <c r="W45" s="2" t="n"/>
      <c r="X45" s="2" t="n"/>
      <c r="Y45" s="2" t="n"/>
      <c r="Z45" s="2" t="n"/>
    </row>
    <row r="46" s="16">
      <c r="A46" s="5" t="inlineStr">
        <is>
          <t>BNK1TFN-015</t>
        </is>
      </c>
      <c r="B46" s="5" t="inlineStr">
        <is>
          <t>BNK1TFN</t>
        </is>
      </c>
      <c r="C46" s="5" t="inlineStr">
        <is>
          <t>343</t>
        </is>
      </c>
      <c r="D46" s="5" t="inlineStr">
        <is>
          <t>345-352</t>
        </is>
      </c>
      <c r="E46" s="5" t="inlineStr">
        <is>
          <t>Output the data to the screen</t>
        </is>
      </c>
      <c r="F46" s="10" t="inlineStr">
        <is>
          <t xml:space="preserve">    PERFORM SEND-MAP.
PM999.
    EXIT.
RECEIVE-MAP SECTION.
RM010.</t>
        </is>
      </c>
      <c r="G46" s="5" t="inlineStr">
        <is>
          <t>Procedural (sem decisão nem tratamento de falha)</t>
        </is>
      </c>
      <c r="H46" s="5" t="inlineStr">
        <is>
          <t>comentário delega lógica (PERFORM)</t>
        </is>
      </c>
      <c r="I46" s="14" t="inlineStr">
        <is>
          <t>Manter descartado</t>
        </is>
      </c>
      <c r="J46" s="2" t="n"/>
      <c r="K46" s="2" t="n"/>
      <c r="L46" s="2" t="n"/>
      <c r="M46" s="2" t="n"/>
      <c r="N46" s="2" t="n"/>
      <c r="O46" s="2" t="n"/>
      <c r="P46" s="2" t="n"/>
      <c r="Q46" s="2" t="n"/>
      <c r="R46" s="2" t="n"/>
      <c r="S46" s="2" t="n"/>
      <c r="T46" s="2" t="n"/>
      <c r="U46" s="2" t="n"/>
      <c r="V46" s="2" t="n"/>
      <c r="W46" s="2" t="n"/>
      <c r="X46" s="2" t="n"/>
      <c r="Y46" s="2" t="n"/>
      <c r="Z46" s="2" t="n"/>
    </row>
    <row r="47" s="16">
      <c r="A47" s="5" t="inlineStr">
        <is>
          <t>BNK1TFN-018</t>
        </is>
      </c>
      <c r="B47" s="5" t="inlineStr">
        <is>
          <t>BNK1TFN</t>
        </is>
      </c>
      <c r="C47" s="5" t="inlineStr">
        <is>
          <t>375</t>
        </is>
      </c>
      <c r="D47" s="5" t="inlineStr">
        <is>
          <t>377-429</t>
        </is>
      </c>
      <c r="E47" s="5" t="inlineStr">
        <is>
          <t>Get supplemental information</t>
        </is>
      </c>
      <c r="F47"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t>
        </is>
      </c>
      <c r="G47" s="5" t="inlineStr">
        <is>
          <t>Procedural (sem decisão nem tratamento de falha)</t>
        </is>
      </c>
      <c r="H47" s="5" t="inlineStr">
        <is>
          <t>comentário curto; comentário delega lógica (PERFORM)</t>
        </is>
      </c>
      <c r="I47" s="14" t="inlineStr">
        <is>
          <t>Manter descartado</t>
        </is>
      </c>
      <c r="J47" s="2" t="n"/>
      <c r="K47" s="2" t="n"/>
      <c r="L47" s="2" t="n"/>
      <c r="M47" s="2" t="n"/>
      <c r="N47" s="2" t="n"/>
      <c r="O47" s="2" t="n"/>
      <c r="P47" s="2" t="n"/>
      <c r="Q47" s="2" t="n"/>
      <c r="R47" s="2" t="n"/>
      <c r="S47" s="2" t="n"/>
      <c r="T47" s="2" t="n"/>
      <c r="U47" s="2" t="n"/>
      <c r="V47" s="2" t="n"/>
      <c r="W47" s="2" t="n"/>
      <c r="X47" s="2" t="n"/>
      <c r="Y47" s="2" t="n"/>
      <c r="Z47" s="2" t="n"/>
    </row>
    <row r="48" s="16">
      <c r="A48" s="5" t="inlineStr">
        <is>
          <t>BNK1TFN-020</t>
        </is>
      </c>
      <c r="B48" s="5" t="inlineStr">
        <is>
          <t>BNK1TFN</t>
        </is>
      </c>
      <c r="C48" s="5" t="inlineStr">
        <is>
          <t>470</t>
        </is>
      </c>
      <c r="D48" s="5" t="inlineStr">
        <is>
          <t>472-479</t>
        </is>
      </c>
      <c r="E48" s="5" t="inlineStr">
        <is>
          <t>Validate the Amount entered</t>
        </is>
      </c>
      <c r="F48" s="10" t="inlineStr">
        <is>
          <t xml:space="preserve">    PERFORM VALIDATE-AMOUNT.
ED999.
    EXIT.
GET-ACC-DATA SECTION.
GCD010.</t>
        </is>
      </c>
      <c r="G48" s="5" t="inlineStr">
        <is>
          <t>Procedural (sem decisão nem tratamento de falha)</t>
        </is>
      </c>
      <c r="H48" s="5" t="inlineStr">
        <is>
          <t>comentário delega lógica (PERFORM)</t>
        </is>
      </c>
      <c r="I48" s="14" t="inlineStr">
        <is>
          <t>Manter descartado</t>
        </is>
      </c>
      <c r="J48" s="2" t="n"/>
      <c r="K48" s="2" t="n"/>
      <c r="L48" s="2" t="n"/>
      <c r="M48" s="2" t="n"/>
      <c r="N48" s="2" t="n"/>
      <c r="O48" s="2" t="n"/>
      <c r="P48" s="2" t="n"/>
      <c r="Q48" s="2" t="n"/>
      <c r="R48" s="2" t="n"/>
      <c r="S48" s="2" t="n"/>
      <c r="T48" s="2" t="n"/>
      <c r="U48" s="2" t="n"/>
      <c r="V48" s="2" t="n"/>
      <c r="W48" s="2" t="n"/>
      <c r="X48" s="2" t="n"/>
      <c r="Y48" s="2" t="n"/>
      <c r="Z48" s="2" t="n"/>
    </row>
    <row r="49" s="16">
      <c r="A49" s="5" t="inlineStr">
        <is>
          <t>BNK1TFN-021</t>
        </is>
      </c>
      <c r="B49" s="5" t="inlineStr">
        <is>
          <t>BNK1TFN</t>
        </is>
      </c>
      <c r="C49" s="5" t="inlineStr">
        <is>
          <t>481-483</t>
        </is>
      </c>
      <c r="D49" s="5" t="inlineStr">
        <is>
          <t>485-489</t>
        </is>
      </c>
      <c r="E49" s="5" t="inlineStr">
        <is>
          <t>Set up the fields required by XFRFUN then link to it to get account information and perform the transfer, then check what gets returned.</t>
        </is>
      </c>
      <c r="F49" s="10" t="inlineStr">
        <is>
          <t xml:space="preserve">    INITIALIZE SUBPGM-PARMS.
    MOVE FACCNOI TO  SUBPGM-FACCNO.
    MOVE TACCNOI TO  SUBPGM-TACCNO.
    MOVE 'N'     TO  SUBPGM-SUCCESS.</t>
        </is>
      </c>
      <c r="G49" s="5" t="inlineStr">
        <is>
          <t>Procedural (sem decisão nem tratamento de falha)</t>
        </is>
      </c>
      <c r="H49" s="5" t="inlineStr">
        <is>
          <t>comentário menciona condição: reavaliar</t>
        </is>
      </c>
      <c r="I49" s="14" t="inlineStr">
        <is>
          <t>Manter descartado</t>
        </is>
      </c>
      <c r="J49" s="2" t="n"/>
      <c r="K49" s="2" t="n"/>
      <c r="L49" s="2" t="n"/>
      <c r="M49" s="2" t="n"/>
      <c r="N49" s="2" t="n"/>
      <c r="O49" s="2" t="n"/>
      <c r="P49" s="2" t="n"/>
      <c r="Q49" s="2" t="n"/>
      <c r="R49" s="2" t="n"/>
      <c r="S49" s="2" t="n"/>
      <c r="T49" s="2" t="n"/>
      <c r="U49" s="2" t="n"/>
      <c r="V49" s="2" t="n"/>
      <c r="W49" s="2" t="n"/>
      <c r="X49" s="2" t="n"/>
      <c r="Y49" s="2" t="n"/>
      <c r="Z49" s="2" t="n"/>
    </row>
    <row r="50" s="16">
      <c r="A50" s="5" t="inlineStr">
        <is>
          <t>BNK1TFN-024</t>
        </is>
      </c>
      <c r="B50" s="5" t="inlineStr">
        <is>
          <t>BNK1TFN</t>
        </is>
      </c>
      <c r="C50" s="5" t="inlineStr">
        <is>
          <t>515</t>
        </is>
      </c>
      <c r="D50" s="5" t="inlineStr">
        <is>
          <t>517-561</t>
        </is>
      </c>
      <c r="E50" s="5" t="inlineStr">
        <is>
          <t>Get supplemental information</t>
        </is>
      </c>
      <c r="F50"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t>
        </is>
      </c>
      <c r="G50" s="5" t="inlineStr">
        <is>
          <t>Procedural (sem decisão nem tratamento de falha)</t>
        </is>
      </c>
      <c r="H50" s="5" t="inlineStr">
        <is>
          <t>comentário curto; comentário delega lógica (PERFORM)</t>
        </is>
      </c>
      <c r="I50" s="14" t="inlineStr">
        <is>
          <t>Manter descartado</t>
        </is>
      </c>
      <c r="J50" s="2" t="n"/>
      <c r="K50" s="2" t="n"/>
      <c r="L50" s="2" t="n"/>
      <c r="M50" s="2" t="n"/>
      <c r="N50" s="2" t="n"/>
      <c r="O50" s="2" t="n"/>
      <c r="P50" s="2" t="n"/>
      <c r="Q50" s="2" t="n"/>
      <c r="R50" s="2" t="n"/>
      <c r="S50" s="2" t="n"/>
      <c r="T50" s="2" t="n"/>
      <c r="U50" s="2" t="n"/>
      <c r="V50" s="2" t="n"/>
      <c r="W50" s="2" t="n"/>
      <c r="X50" s="2" t="n"/>
      <c r="Y50" s="2" t="n"/>
      <c r="Z50" s="2" t="n"/>
    </row>
    <row r="51" s="16">
      <c r="A51" s="5" t="inlineStr">
        <is>
          <t>BNK1TFN-025</t>
        </is>
      </c>
      <c r="B51" s="5" t="inlineStr">
        <is>
          <t>BNK1TFN</t>
        </is>
      </c>
      <c r="C51" s="5" t="inlineStr">
        <is>
          <t>564</t>
        </is>
      </c>
      <c r="D51" s="5" t="inlineStr">
        <is>
          <t>566-577</t>
        </is>
      </c>
      <c r="E51" s="5" t="inlineStr">
        <is>
          <t>Map the returned data to the screen output fields</t>
        </is>
      </c>
      <c r="F51" s="10" t="inlineStr">
        <is>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is>
      </c>
      <c r="G51" s="5" t="inlineStr">
        <is>
          <t>Procedural (sem decisão nem tratamento de falha)</t>
        </is>
      </c>
      <c r="H51" s="5" t="n"/>
      <c r="I51" s="14" t="inlineStr">
        <is>
          <t>Manter descartado</t>
        </is>
      </c>
      <c r="J51" s="2" t="n"/>
      <c r="K51" s="2" t="n"/>
      <c r="L51" s="2" t="n"/>
      <c r="M51" s="2" t="n"/>
      <c r="N51" s="2" t="n"/>
      <c r="O51" s="2" t="n"/>
      <c r="P51" s="2" t="n"/>
      <c r="Q51" s="2" t="n"/>
      <c r="R51" s="2" t="n"/>
      <c r="S51" s="2" t="n"/>
      <c r="T51" s="2" t="n"/>
      <c r="U51" s="2" t="n"/>
      <c r="V51" s="2" t="n"/>
      <c r="W51" s="2" t="n"/>
      <c r="X51" s="2" t="n"/>
      <c r="Y51" s="2" t="n"/>
      <c r="Z51" s="2" t="n"/>
    </row>
    <row r="52" s="16">
      <c r="A52" s="5" t="inlineStr">
        <is>
          <t>BNK1TFN-027</t>
        </is>
      </c>
      <c r="B52" s="5" t="inlineStr">
        <is>
          <t>BNK1TFN</t>
        </is>
      </c>
      <c r="C52" s="5" t="inlineStr">
        <is>
          <t>643</t>
        </is>
      </c>
      <c r="D52" s="5" t="inlineStr">
        <is>
          <t>645-663</t>
        </is>
      </c>
      <c r="E52" s="5" t="inlineStr">
        <is>
          <t>Map the remaining fields</t>
        </is>
      </c>
      <c r="F52" s="10" t="inlineStr">
        <is>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is>
      </c>
      <c r="G52" s="5" t="inlineStr">
        <is>
          <t>Procedural (sem decisão nem tratamento de falha)</t>
        </is>
      </c>
      <c r="H52" s="5" t="n"/>
      <c r="I52" s="14" t="inlineStr">
        <is>
          <t>Manter descartado</t>
        </is>
      </c>
      <c r="J52" s="2" t="n"/>
      <c r="K52" s="2" t="n"/>
      <c r="L52" s="2" t="n"/>
      <c r="M52" s="2" t="n"/>
      <c r="N52" s="2" t="n"/>
      <c r="O52" s="2" t="n"/>
      <c r="P52" s="2" t="n"/>
      <c r="Q52" s="2" t="n"/>
      <c r="R52" s="2" t="n"/>
      <c r="S52" s="2" t="n"/>
      <c r="T52" s="2" t="n"/>
      <c r="U52" s="2" t="n"/>
      <c r="V52" s="2" t="n"/>
      <c r="W52" s="2" t="n"/>
      <c r="X52" s="2" t="n"/>
      <c r="Y52" s="2" t="n"/>
      <c r="Z52" s="2" t="n"/>
    </row>
    <row r="53" s="16">
      <c r="A53" s="5" t="inlineStr">
        <is>
          <t>BNK1TFN-030</t>
        </is>
      </c>
      <c r="B53" s="5" t="inlineStr">
        <is>
          <t>BNK1TFN</t>
        </is>
      </c>
      <c r="C53" s="5" t="inlineStr">
        <is>
          <t>691</t>
        </is>
      </c>
      <c r="D53" s="5" t="inlineStr">
        <is>
          <t>693-740</t>
        </is>
      </c>
      <c r="E53" s="5" t="inlineStr">
        <is>
          <t>Get supplemental information</t>
        </is>
      </c>
      <c r="F53"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t>
        </is>
      </c>
      <c r="G53" s="5" t="inlineStr">
        <is>
          <t>Procedural (sem decisão nem tratamento de falha)</t>
        </is>
      </c>
      <c r="H53" s="5" t="inlineStr">
        <is>
          <t>comentário curto; comentário delega lógica (PERFORM); contém GO TO (desvio incondicional)</t>
        </is>
      </c>
      <c r="I53" s="14" t="inlineStr">
        <is>
          <t>Manter descartado</t>
        </is>
      </c>
      <c r="J53" s="2" t="n"/>
      <c r="K53" s="2" t="n"/>
      <c r="L53" s="2" t="n"/>
      <c r="M53" s="2" t="n"/>
      <c r="N53" s="2" t="n"/>
      <c r="O53" s="2" t="n"/>
      <c r="P53" s="2" t="n"/>
      <c r="Q53" s="2" t="n"/>
      <c r="R53" s="2" t="n"/>
      <c r="S53" s="2" t="n"/>
      <c r="T53" s="2" t="n"/>
      <c r="U53" s="2" t="n"/>
      <c r="V53" s="2" t="n"/>
      <c r="W53" s="2" t="n"/>
      <c r="X53" s="2" t="n"/>
      <c r="Y53" s="2" t="n"/>
      <c r="Z53" s="2" t="n"/>
    </row>
    <row r="54" s="16">
      <c r="A54" s="5" t="inlineStr">
        <is>
          <t>BNK1TFN-033</t>
        </is>
      </c>
      <c r="B54" s="5" t="inlineStr">
        <is>
          <t>BNK1TFN</t>
        </is>
      </c>
      <c r="C54" s="5" t="inlineStr">
        <is>
          <t>765</t>
        </is>
      </c>
      <c r="D54" s="5" t="inlineStr">
        <is>
          <t>767-814</t>
        </is>
      </c>
      <c r="E54" s="5" t="inlineStr">
        <is>
          <t>Get supplemental information</t>
        </is>
      </c>
      <c r="F54"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t>
        </is>
      </c>
      <c r="G54" s="5" t="inlineStr">
        <is>
          <t>Procedural (sem decisão nem tratamento de falha)</t>
        </is>
      </c>
      <c r="H54" s="5" t="inlineStr">
        <is>
          <t>comentário curto; comentário delega lógica (PERFORM); contém GO TO (desvio incondicional)</t>
        </is>
      </c>
      <c r="I54" s="14" t="inlineStr">
        <is>
          <t>Manter descartado</t>
        </is>
      </c>
      <c r="J54" s="2" t="n"/>
      <c r="K54" s="2" t="n"/>
      <c r="L54" s="2" t="n"/>
      <c r="M54" s="2" t="n"/>
      <c r="N54" s="2" t="n"/>
      <c r="O54" s="2" t="n"/>
      <c r="P54" s="2" t="n"/>
      <c r="Q54" s="2" t="n"/>
      <c r="R54" s="2" t="n"/>
      <c r="S54" s="2" t="n"/>
      <c r="T54" s="2" t="n"/>
      <c r="U54" s="2" t="n"/>
      <c r="V54" s="2" t="n"/>
      <c r="W54" s="2" t="n"/>
      <c r="X54" s="2" t="n"/>
      <c r="Y54" s="2" t="n"/>
      <c r="Z54" s="2" t="n"/>
    </row>
    <row r="55" s="16">
      <c r="A55" s="5" t="inlineStr">
        <is>
          <t>BNK1TFN-036</t>
        </is>
      </c>
      <c r="B55" s="5" t="inlineStr">
        <is>
          <t>BNK1TFN</t>
        </is>
      </c>
      <c r="C55" s="5" t="inlineStr">
        <is>
          <t>840</t>
        </is>
      </c>
      <c r="D55" s="5" t="inlineStr">
        <is>
          <t>842-895</t>
        </is>
      </c>
      <c r="E55" s="5" t="inlineStr">
        <is>
          <t>Get supplemental information</t>
        </is>
      </c>
      <c r="F55"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t>
        </is>
      </c>
      <c r="G55" s="5" t="inlineStr">
        <is>
          <t>Procedural (sem decisão nem tratamento de falha)</t>
        </is>
      </c>
      <c r="H55" s="5" t="inlineStr">
        <is>
          <t>comentário curto; comentário delega lógica (PERFORM)</t>
        </is>
      </c>
      <c r="I55" s="14" t="inlineStr">
        <is>
          <t>Manter descartado</t>
        </is>
      </c>
      <c r="J55" s="2" t="n"/>
      <c r="K55" s="2" t="n"/>
      <c r="L55" s="2" t="n"/>
      <c r="M55" s="2" t="n"/>
      <c r="N55" s="2" t="n"/>
      <c r="O55" s="2" t="n"/>
      <c r="P55" s="2" t="n"/>
      <c r="Q55" s="2" t="n"/>
      <c r="R55" s="2" t="n"/>
      <c r="S55" s="2" t="n"/>
      <c r="T55" s="2" t="n"/>
      <c r="U55" s="2" t="n"/>
      <c r="V55" s="2" t="n"/>
      <c r="W55" s="2" t="n"/>
      <c r="X55" s="2" t="n"/>
      <c r="Y55" s="2" t="n"/>
      <c r="Z55" s="2" t="n"/>
    </row>
    <row r="56" s="16">
      <c r="A56" s="5" t="inlineStr">
        <is>
          <t>BNK1TFN-039</t>
        </is>
      </c>
      <c r="B56" s="5" t="inlineStr">
        <is>
          <t>BNK1TFN</t>
        </is>
      </c>
      <c r="C56" s="5" t="inlineStr">
        <is>
          <t>918</t>
        </is>
      </c>
      <c r="D56" s="5" t="inlineStr">
        <is>
          <t>920-971</t>
        </is>
      </c>
      <c r="E56" s="5" t="inlineStr">
        <is>
          <t>Get supplemental information</t>
        </is>
      </c>
      <c r="F56" s="10" t="inlineStr">
        <is>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t>
        </is>
      </c>
      <c r="G56" s="5" t="inlineStr">
        <is>
          <t>Procedural (sem decisão nem tratamento de falha)</t>
        </is>
      </c>
      <c r="H56" s="5" t="inlineStr">
        <is>
          <t>comentário curto; comentário delega lógica (PERFORM)</t>
        </is>
      </c>
      <c r="I56" s="14" t="inlineStr">
        <is>
          <t>Manter descartado</t>
        </is>
      </c>
      <c r="J56" s="2" t="n"/>
      <c r="K56" s="2" t="n"/>
      <c r="L56" s="2" t="n"/>
      <c r="M56" s="2" t="n"/>
      <c r="N56" s="2" t="n"/>
      <c r="O56" s="2" t="n"/>
      <c r="P56" s="2" t="n"/>
      <c r="Q56" s="2" t="n"/>
      <c r="R56" s="2" t="n"/>
      <c r="S56" s="2" t="n"/>
      <c r="T56" s="2" t="n"/>
      <c r="U56" s="2" t="n"/>
      <c r="V56" s="2" t="n"/>
      <c r="W56" s="2" t="n"/>
      <c r="X56" s="2" t="n"/>
      <c r="Y56" s="2" t="n"/>
      <c r="Z56" s="2" t="n"/>
    </row>
    <row r="57" s="16">
      <c r="A57" s="5" t="inlineStr">
        <is>
          <t>BNK1TFN-049</t>
        </is>
      </c>
      <c r="B57" s="5" t="inlineStr">
        <is>
          <t>BNK1TFN</t>
        </is>
      </c>
      <c r="C57" s="5" t="inlineStr">
        <is>
          <t>1210</t>
        </is>
      </c>
      <c r="D57" s="5" t="inlineStr">
        <is>
          <t>1212-1224</t>
        </is>
      </c>
      <c r="E57" s="5" t="inlineStr">
        <is>
          <t>Fomate the date and time</t>
        </is>
      </c>
      <c r="F57" s="10" t="inlineStr">
        <is>
          <t xml:space="preserve">    EXEC CICS ASKTIME
       ABSTIME(WS-U-TIME)
    END-EXEC.
    EXEC CICS FORMATTIME
              ABSTIME(WS-U-TIME)
              DDMMYYYY(WS-ORIG-DATE)
              TIME(WS-TIME-NOW)
              DATESEP
    END-EXEC.
PTD999.
    EXIT.</t>
        </is>
      </c>
      <c r="G57" s="5" t="inlineStr">
        <is>
          <t>Procedural (sem decisão nem tratamento de falha)</t>
        </is>
      </c>
      <c r="H57" s="5" t="n"/>
      <c r="I57" s="14" t="inlineStr">
        <is>
          <t>Manter descartado</t>
        </is>
      </c>
      <c r="J57" s="2" t="n"/>
      <c r="K57" s="2" t="n"/>
      <c r="L57" s="2" t="n"/>
      <c r="M57" s="2" t="n"/>
      <c r="N57" s="2" t="n"/>
      <c r="O57" s="2" t="n"/>
      <c r="P57" s="2" t="n"/>
      <c r="Q57" s="2" t="n"/>
      <c r="R57" s="2" t="n"/>
      <c r="S57" s="2" t="n"/>
      <c r="T57" s="2" t="n"/>
      <c r="U57" s="2" t="n"/>
      <c r="V57" s="2" t="n"/>
      <c r="W57" s="2" t="n"/>
      <c r="X57" s="2" t="n"/>
      <c r="Y57" s="2" t="n"/>
      <c r="Z57" s="2" t="n"/>
    </row>
    <row r="58" s="1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s="1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s="1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s="1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s="1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s="1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s="1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s="1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s="1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s="1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s="1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s="1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s="1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s="1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s="1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s="1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s="1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s="1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s="1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s="1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s="1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s="1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s="1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s="1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s="1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s="1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s="1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s="1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s="1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s="1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s="1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s="1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s="1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s="1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s="1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s="1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s="1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s="1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s="1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s="1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s="1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s="1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s="1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s="1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s="1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s="1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s="1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s="1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s="1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s="1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s="1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s="1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s="1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s="1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s="1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s="1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s="1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s="1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s="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s="1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s="1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s="1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s="1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s="1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s="1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s="1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s="1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s="1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s="1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s="1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s="1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s="1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s="1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s="1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s="1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s="1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s="1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s="1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s="1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s="1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s="1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s="1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s="1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s="1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s="1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s="1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s="1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s="1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s="1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s="1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s="1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s="1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s="1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s="1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s="1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s="1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s="1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s="1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s="1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s="1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s="1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s="1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s="1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s="1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s="1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s="1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s="1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s="1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s="1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s="1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s="1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s="1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s="1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s="1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s="1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s="1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s="1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s="1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s="1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s="1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s="1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s="1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s="1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s="1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s="1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s="1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s="1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s="1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s="1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s="1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s="1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s="1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s="1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s="1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s="1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s="1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s="1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s="1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s="1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s="1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s="1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s="1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s="1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s="1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s="1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s="1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s="1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s="1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s="1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s="1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s="1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s="1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s="1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s="1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s="1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s="1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s="1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s="1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s="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s="1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s="1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s="1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s="1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s="1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s="1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s="1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s="1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s="1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s="1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s="1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s="1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s="1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s="1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s="1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s="1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s="1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s="1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s="1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s="1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s="1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s="1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s="1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s="1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s="1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s="1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s="1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s="1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s="1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s="1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s="1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s="1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s="1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s="1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s="1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s="1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s="1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s="1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s="1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s="1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s="1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s="1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s="1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s="1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s="1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s="1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s="1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s="1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s="1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s="1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s="1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s="1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s="1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s="1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s="1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s="1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s="1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s="1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s="1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s="1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s="1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s="1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s="1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s="1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s="1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s="1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s="1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s="1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s="1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s="1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s="1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s="1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s="1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s="1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s="1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s="1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s="1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s="1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s="1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s="1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s="1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s="1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s="1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s="1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s="1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s="1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s="1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s="1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s="1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s="1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s="1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s="1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s="1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s="1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s="1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s="1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s="1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s="1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s="1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s="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s="1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s="1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s="1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s="1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s="1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s="1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s="1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s="1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s="1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s="1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s="1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s="1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s="1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s="1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s="1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s="1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s="1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s="1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s="1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s="1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s="1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s="1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s="1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s="1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s="1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s="1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s="1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s="1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s="1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s="1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s="1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s="1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s="1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s="1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s="1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s="1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s="1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s="1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s="1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s="1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s="1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s="1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s="1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s="1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s="1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s="1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s="1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s="1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s="1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s="1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s="1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s="1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s="1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s="1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s="1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s="1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s="1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s="1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s="1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s="1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s="1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s="1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s="1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s="1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s="1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s="1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s="1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s="1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s="1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s="1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s="1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s="1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s="1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s="1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s="1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s="1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s="1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s="1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s="1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s="1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s="1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s="1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s="1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s="1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s="1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s="1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s="1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s="1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s="1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s="1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s="1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s="1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s="1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s="1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s="1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s="1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s="1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s="1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s="1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s="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s="1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s="1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s="1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s="1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s="1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s="1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s="1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s="1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s="1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s="1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s="1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s="1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s="1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s="1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s="1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s="1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s="1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s="1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s="1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s="1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s="1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s="1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s="1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s="1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s="1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s="1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s="1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s="1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s="1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s="1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s="1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s="1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s="1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s="1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s="1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s="1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s="1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s="1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s="1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s="1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s="1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s="1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s="1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s="1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s="1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s="1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s="1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s="1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s="1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s="1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s="1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s="1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s="1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s="1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s="1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s="1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s="1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s="1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s="1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s="1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s="1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s="1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s="1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s="1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s="1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s="1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s="1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s="1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s="1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s="1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s="1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s="1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s="1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s="1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s="1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s="1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s="1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s="1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s="1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s="1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s="1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s="1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s="1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s="1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s="1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s="1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s="1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s="1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s="1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s="1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s="1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s="1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s="1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s="1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s="1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s="1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s="1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s="1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s="1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s="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s="1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s="1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s="1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s="1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s="1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s="1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s="1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s="1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s="1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s="1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s="1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s="1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s="1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s="1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s="1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s="1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s="1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s="1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s="1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s="1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s="1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s="1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s="1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s="1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s="1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s="1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s="1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s="1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s="1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s="1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s="1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s="1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s="1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s="1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s="1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s="1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s="1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s="1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s="1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s="1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s="1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s="1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s="1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s="1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s="1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s="1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s="1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s="1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s="1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s="1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s="1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s="1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s="1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s="1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s="1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s="1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s="1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s="1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s="1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s="1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s="1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s="1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s="1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s="1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s="1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s="1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s="1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s="1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s="1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s="1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s="1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s="1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s="1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s="1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s="1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s="1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s="1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s="1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s="1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s="1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s="1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s="1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s="1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s="1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s="1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s="1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s="1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s="1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s="1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s="1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s="1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s="1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s="1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s="1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s="1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s="1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s="1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s="1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s="1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s="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s="1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s="1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s="1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s="1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s="1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s="1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s="1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s="1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s="1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s="1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s="1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s="1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s="1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s="1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s="1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s="1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s="1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s="1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s="1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s="1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s="1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s="1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s="1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s="1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s="1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s="1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s="1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s="1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s="1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s="1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s="1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s="1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s="1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s="1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s="1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s="1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s="1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s="1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s="1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s="1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s="1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s="1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s="1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s="1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s="1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s="1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s="1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s="1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s="1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s="1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s="1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s="1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s="1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s="1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s="1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s="1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s="1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s="1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s="1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s="1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s="1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s="1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s="1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s="1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s="1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s="1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s="1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s="1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s="1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s="1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s="1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s="1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s="1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s="1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s="1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s="1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s="1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s="1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s="1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s="1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s="1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s="1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s="1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s="1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s="1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s="1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s="1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s="1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s="1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s="1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s="1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s="1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s="1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s="1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s="1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s="1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s="1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s="1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s="1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s="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s="1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s="1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s="1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s="1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s="1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s="1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s="1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s="1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s="1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s="1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s="1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s="1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s="1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s="1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s="1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s="1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s="1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s="1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s="1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s="1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s="1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s="1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s="1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s="1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s="1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s="1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s="1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s="1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s="1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s="1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s="1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s="1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s="1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s="1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s="1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s="1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s="1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s="1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s="1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s="1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s="1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s="1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s="1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s="1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s="1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s="1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s="1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s="1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s="1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s="1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s="1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s="1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s="1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s="1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s="1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s="1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s="1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s="1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s="1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s="1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s="1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s="1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s="1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s="1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s="1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s="1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s="1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s="1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s="1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s="1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s="1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s="1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s="1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s="1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s="1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s="1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s="1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s="1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s="1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s="1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s="1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s="1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s="1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s="1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s="1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s="1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s="1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s="1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s="1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s="1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s="1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s="1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s="1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s="1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s="1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s="1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s="1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s="1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s="1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s="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s="1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s="1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s="1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s="1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s="1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s="1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s="1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s="1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s="1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s="1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s="1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s="1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s="1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s="1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s="1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s="1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s="1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s="1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s="1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s="1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s="1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s="1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s="1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s="1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s="1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s="1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s="1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s="1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s="1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s="1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s="1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s="1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s="1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s="1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s="1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s="1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s="1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s="1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s="1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s="1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s="1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s="1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s="1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s="1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s="1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s="1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s="1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s="1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s="1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s="1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s="1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s="1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s="1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s="1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s="1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s="1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s="1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s="1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s="1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s="1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s="1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s="1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s="1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s="1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s="1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s="1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s="1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s="1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s="1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s="1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s="1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s="1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s="1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s="1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s="1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s="1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s="1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s="1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s="1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s="1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s="1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s="1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s="1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s="1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s="1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s="1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s="1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s="1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s="1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s="1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s="1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s="1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s="1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s="1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s="1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s="1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s="1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s="1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s="1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s="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s="1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s="1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s="1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s="1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s="1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s="1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s="1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s="1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s="1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s="1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s="1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s="1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s="1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s="1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s="1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s="1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s="1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s="1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s="1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s="1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s="1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s="1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s="1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s="1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s="1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s="1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s="1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s="1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s="1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s="1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s="1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s="1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s="1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s="1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s="1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s="1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s="1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s="1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s="1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s="1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s="1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s="1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s="1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s="1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s="1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s="1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s="1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s="1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s="1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s="1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s="1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s="1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s="1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s="1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s="1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s="1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s="1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s="1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s="1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s="1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s="1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s="1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s="1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s="1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s="1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s="1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s="1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s="1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s="1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s="1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s="1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s="1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s="1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s="1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s="1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s="1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s="1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s="1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s="1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s="1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s="1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s="1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s="1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s="1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I$57"/>
  <dataValidations count="1">
    <dataValidation sqref="I2:I57" showDropDown="0" showInputMessage="0" showErrorMessage="0" allowBlank="1" type="list">
      <formula1>"Manter descartado,Reincluir"</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2026-10-16T01:43:56Z</dcterms:created>
  <dcterms:modified xmlns:dcterms="http://purl.org/dc/terms/" xmlns:xsi="http://www.w3.org/2001/XMLSchema-instance" xsi:type="dcterms:W3CDTF">2026-10-16T15:02:20Z</dcterms:modified>
</cp:coreProperties>
</file>