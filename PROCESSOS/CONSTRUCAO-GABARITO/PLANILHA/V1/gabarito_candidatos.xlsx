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genda" sheetId="1" state="visible" r:id="rId3"/>
    <sheet name="Resumo" sheetId="2" state="visible" r:id="rId4"/>
    <sheet name="Candidatos" sheetId="3" state="visible" r:id="rId5"/>
    <sheet name="Descartados" sheetId="4" state="visible" r:id="rId6"/>
  </sheets>
  <definedNames>
    <definedName function="false" hidden="true" localSheetId="2" name="_xlnm._FilterDatabase" vbProcedure="false">Candidatos!$A$1:$M$121</definedName>
    <definedName function="false" hidden="true" localSheetId="3" name="_xlnm._FilterDatabase" vbProcedure="false">Descartados!$A$1:$I$76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<sst xmlns="http://schemas.openxmlformats.org/spreadsheetml/2006/main" count="1607" uniqueCount="911">
  <si>
    <t xml:space="preserve">Gabarito (ground-truth): pares candidatos de comentário e código</t>
  </si>
  <si>
    <t xml:space="preserve">Origem</t>
  </si>
  <si>
    <t xml:space="preserve">Programas da CBSA na pasta ORIGINAL do repositório da base de dados (commit e22475691524ef72a92ee77f7040233e098ab1b9, ijmitch/cics-banking-sample-application-cbsa). Números de linha referem-se aos arquivos do ORIGINAL.</t>
  </si>
  <si>
    <t xml:space="preserve">Como foi gerado</t>
  </si>
  <si>
    <t xml:space="preserve">Extração automática (script extrair_pares_gabarito.py). Cada bloco de comentário da PROCEDURE DIVISION é pareado ao código que o segue, até o próximo comentário (limite de 30 linhas por trecho).</t>
  </si>
  <si>
    <t xml:space="preserve">Filtro (E4, seção 1.3)</t>
  </si>
  <si>
    <t xml:space="preserve">Retido: trecho com IF, EVALUATE ou WHEN, ou com tratamento de falha (ABEND, SQLCODE, HANDLE, DFHRESP, EIBRESP, EIBRCODE). Os demais ficam na aba Descartados, para que o critério seja auditável.</t>
  </si>
  <si>
    <t xml:space="preserve">O que preencher</t>
  </si>
  <si>
    <t xml:space="preserve">Aba Candidatos, colunas J a M (fundo amarelo): Revisão discente, Revisão orientador, Regra atômica (redação final) e Observações. Na aba Descartados, coluna I.</t>
  </si>
  <si>
    <t xml:space="preserve">Valores da revisão</t>
  </si>
  <si>
    <t xml:space="preserve">Manter, Descartar ou Ajustar (lista suspensa). Em Descartados: Manter descartado ou Reincluir.</t>
  </si>
  <si>
    <t xml:space="preserve">Alertas</t>
  </si>
  <si>
    <t xml:space="preserve">possível código desativado: o comentário parece uma instrução COBOL comentada. comentário curto: até 3 palavras. trecho truncado: o código do par passa do limite de linhas; conferir o restante no fonte. comentários adjacentes fundidos: o bloco seguinte de comentário foi unido porque o trecho entre eles não tinha código ativo. comentário menciona condição (aba Descartados): o comentário descreve uma condição, mas o trecho seguinte é só ação; a decisão pode estar antes no fonte.</t>
  </si>
  <si>
    <t xml:space="preserve">Limitações</t>
  </si>
  <si>
    <t xml:space="preserve">A triagem é heurística e não substitui a revisão dupla. Comentários de cabeçalho (antes da PROCEDURE DIVISION) não entram. Linhas de depuração (indicador D) aparecem com o prefixo [D]. O tipo (Decisão, Falha, Decisão e falha) é atribuído ao trecho inteiro, não ao comentário isolado.</t>
  </si>
  <si>
    <t xml:space="preserve">Exemplo de regra atômica</t>
  </si>
  <si>
    <t xml:space="preserve">Ilustrativo, não faz parte do gabarito: "Se o valor solicitado for um débito e o saldo disponível for insuficiente, a solicitação é negada." (uma condição e uma consequência por regra)</t>
  </si>
  <si>
    <t xml:space="preserve">Programa</t>
  </si>
  <si>
    <t xml:space="preserve">Blocos com texto</t>
  </si>
  <si>
    <t xml:space="preserve">Candidatos retidos</t>
  </si>
  <si>
    <t xml:space="preserve">Descartados</t>
  </si>
  <si>
    <t xml:space="preserve">Decisão</t>
  </si>
  <si>
    <t xml:space="preserve">Falha</t>
  </si>
  <si>
    <t xml:space="preserve">Decisão e falha</t>
  </si>
  <si>
    <t xml:space="preserve">Com alertas</t>
  </si>
  <si>
    <t xml:space="preserve">Manter (discente)</t>
  </si>
  <si>
    <t xml:space="preserve">Descartar (discente)</t>
  </si>
  <si>
    <t xml:space="preserve">Ajustar (discente)</t>
  </si>
  <si>
    <t xml:space="preserve">Pendentes (discente)</t>
  </si>
  <si>
    <t xml:space="preserve">DBCRFUN</t>
  </si>
  <si>
    <t xml:space="preserve">XFRFUN</t>
  </si>
  <si>
    <t xml:space="preserve">BNK1CRA</t>
  </si>
  <si>
    <t xml:space="preserve">BNK1TFN</t>
  </si>
  <si>
    <t xml:space="preserve">TOTAL</t>
  </si>
  <si>
    <t xml:space="preserve">Contagens por fórmula: atualizam conforme a revisão é preenchida na aba Candidatos.</t>
  </si>
  <si>
    <t xml:space="preserve">ID</t>
  </si>
  <si>
    <t xml:space="preserve">Linhas do comentário</t>
  </si>
  <si>
    <t xml:space="preserve">Linhas do código</t>
  </si>
  <si>
    <t xml:space="preserve">Comentário</t>
  </si>
  <si>
    <t xml:space="preserve">Trecho de código</t>
  </si>
  <si>
    <t xml:space="preserve">Tipo</t>
  </si>
  <si>
    <t xml:space="preserve">Estruturas</t>
  </si>
  <si>
    <t xml:space="preserve">Revisão discente</t>
  </si>
  <si>
    <t xml:space="preserve">Revisão orientador</t>
  </si>
  <si>
    <t xml:space="preserve">Regra atômica (redação final)</t>
  </si>
  <si>
    <t xml:space="preserve">Observações</t>
  </si>
  <si>
    <t xml:space="preserve">DBCRFUN-001</t>
  </si>
  <si>
    <t xml:space="preserve">205</t>
  </si>
  <si>
    <t xml:space="preserve">207-212</t>
  </si>
  <si>
    <t xml:space="preserve">Set up some Abend handling</t>
  </si>
  <si>
    <t xml:space="preserve">    EXEC CICS HANDLE ABEND
       LABEL(ABEND-HANDLING)
    END-EXEC.
    MOVE SORTCODE TO COMM-SORTC.
    MOVE SORTCODE TO DESIRED-SORT-CODE.</t>
  </si>
  <si>
    <t xml:space="preserve">falha</t>
  </si>
  <si>
    <t xml:space="preserve">DBCRFUN-005</t>
  </si>
  <si>
    <t xml:space="preserve">276-277</t>
  </si>
  <si>
    <t xml:space="preserve">279-287</t>
  </si>
  <si>
    <t xml:space="preserve">Check that select was successful. If it wasn't then deal with it</t>
  </si>
  <si>
    <t xml:space="preserve">    IF SQLCODE NOT = 0
       MOVE 'N' TO COMM-SUCCESS
       IF SQLCODE = +100
          MOVE '1' TO COMM-FAIL-CODE
       ELSE
          MOVE '2' TO COMM-FAIL-CODE
       END-IF</t>
  </si>
  <si>
    <t xml:space="preserve">IF, falha</t>
  </si>
  <si>
    <t xml:space="preserve">DBCRFUN-007</t>
  </si>
  <si>
    <t xml:space="preserve">301-304</t>
  </si>
  <si>
    <t xml:space="preserve">307</t>
  </si>
  <si>
    <t xml:space="preserve">Is the amount being requested a debit or a credit? If it is a CREDIT (+) then we don't need to ensure that the available balance has sufficient funds, because this is money coming in.</t>
  </si>
  <si>
    <t xml:space="preserve">    IF COMM-AMT &lt; 0</t>
  </si>
  <si>
    <t xml:space="preserve">IF</t>
  </si>
  <si>
    <t xml:space="preserve">DBCRFUN-008</t>
  </si>
  <si>
    <t xml:space="preserve">309-328</t>
  </si>
  <si>
    <t xml:space="preserve">316-352</t>
  </si>
  <si>
    <t xml:space="preserve">The amount being requested is a DEBIT/Payment (-) so we do need to check that the available balance is sufficient to cover the amount being asked for. If there are NOT sufficient funds the request is denied so remove the record LOCK and and finish. Check to see whether the Payment is being requested from a MORTGAGE or LOAN account. We only make this check for PAYMENTs (we don't make this check for requests via the Teller). How do we know it is a PAYMENT as opposed to a Teller, this is determined by the COMM-FACILTYPE(496 = NONE) If it is a PAYMENT being requested from a MORTGAGE or LOAN account then set an appropriate fail code (4) and finish up.</t>
  </si>
  <si>
    <t xml:space="preserve">[D]        DISPLAY 'COMM-AMT IS negative'
       IF (HV-ACCOUNT-ACC-TYPE = 'MORTGAGE'
       AND COMM-FACILTYPE = 496)
       OR (HV-ACCOUNT-ACC-TYPE = 'LOAN    '
       AND COMM-FACILTYPE = 496)
          MOVE 'N' TO COMM-SUCCESS
          MOVE '4' TO COMM-FAIL-CODE
          GO TO UAD999
       END-IF
       MOVE 0 TO WS-DIFFERENCE
       COMPUTE WS-DIFFERENCE = HV-ACCOUNT-AVAIL-BAL
          + COMM-AMT
       IF WS-DIFFERENCE &lt; 0 AND COMM-FACILTYPE = 496
[D]           DISPLAY 'insufficient funds!'
          MOVE 'N' TO COMM-SUCCESS
          MOVE '3' TO COMM-FAIL-CODE
          GO TO UAD999
       END-IF
    END-IF.</t>
  </si>
  <si>
    <t xml:space="preserve">comentários adjacentes fundidos</t>
  </si>
  <si>
    <t xml:space="preserve">DBCRFUN-009</t>
  </si>
  <si>
    <t xml:space="preserve">356-366</t>
  </si>
  <si>
    <t xml:space="preserve">368-376</t>
  </si>
  <si>
    <t xml:space="preserve">Check to see whether a Credit is being requested from a MORTGAGE or LOAN account. We only make this check for requests via the PAYMENT link (we don't make this check for requests via the Teller). How do we know it is a PAYMENT as opposed to a Teller, this is determined by the COMM-FACILTYPE(496 = NONE) If it is a PAYMENT credit being requested from a MORTGAGE or LOAN account then set an appropriate fail code (4), remove the record lock and finish up.</t>
  </si>
  <si>
    <t xml:space="preserve">    IF (HV-ACCOUNT-ACC-TYPE = 'MORTGAGE' AND
    COMM-FACILTYPE = 496)
    OR (HV-ACCOUNT-ACC-TYPE = 'LOAN    '
    AND COMM-FACILTYPE = 496)
       MOVE 'N' TO COMM-SUCCESS
       MOVE '4' TO COMM-FAIL-CODE
       GO TO UAD999
    END-IF.</t>
  </si>
  <si>
    <t xml:space="preserve">DBCRFUN-012</t>
  </si>
  <si>
    <t xml:space="preserve">411-412</t>
  </si>
  <si>
    <t xml:space="preserve">414-419</t>
  </si>
  <si>
    <t xml:space="preserve">If the rewrite was successful then we need to pass back the amended available balance and actual balance.</t>
  </si>
  <si>
    <t xml:space="preserve">    MOVE SQLCODE TO SQLCODE-DISPLAY.
    MOVE HV-ACCOUNT-AVAIL-BAL TO
       COMM-AV-BAL.
    MOVE HV-ACCOUNT-ACTUAL-BAL TO
       COMM-ACT-BAL.</t>
  </si>
  <si>
    <t xml:space="preserve">DBCRFUN-013</t>
  </si>
  <si>
    <t xml:space="preserve">422-423</t>
  </si>
  <si>
    <t xml:space="preserve">425-427</t>
  </si>
  <si>
    <t xml:space="preserve">If the RESP CODE was NOT OK then we need to set flags accordingly</t>
  </si>
  <si>
    <t xml:space="preserve">    IF SQLCODE NOT = 0
       MOVE 'N' TO COMM-SUCCESS
       MOVE '2' TO COMM-FAIL-CODE</t>
  </si>
  <si>
    <t xml:space="preserve">DBCRFUN-017</t>
  </si>
  <si>
    <t xml:space="preserve">473</t>
  </si>
  <si>
    <t xml:space="preserve">475-493</t>
  </si>
  <si>
    <t xml:space="preserve">Populate the current time and date</t>
  </si>
  <si>
    <t xml:space="preserve">    EXEC CICS ASKTIME
       ABSTIME(WS-U-TIME)
    END-EXEC.
    EXEC CICS FORMATTIME
              ABSTIME(WS-U-TIME)
              DDMMYYYY(WS-ORIG-DATE)
              TIME(HV-PROCTRAN-TIME)
              DATESEP('.')
    END-EXEC.
    MOVE WS-ORIG-DATE TO WS-ORIG-DATE-GRP-X.
    MOVE WS-ORIG-DATE-GRP-X TO HV-PROCTRAN-DATE.
    MOVE SPACES TO HV-PROCTRAN-DESC.
    IF COMM-AMT &lt; 0
       MOVE 'DEB' TO HV-PROCTRAN-TYPE
       MOVE 'COUNTER WTHDRW' TO HV-PROCTRAN-DESC</t>
  </si>
  <si>
    <t xml:space="preserve">DBCRFUN-018</t>
  </si>
  <si>
    <t xml:space="preserve">496</t>
  </si>
  <si>
    <t xml:space="preserve">498-506</t>
  </si>
  <si>
    <t xml:space="preserve">If it is a debit from a PAYMENT</t>
  </si>
  <si>
    <t xml:space="preserve">       IF COMM-FACILTYPE = 496
          MOVE 'PDR' TO HV-PROCTRAN-TYPE
          MOVE COMM-ORIGIN(1:14) TO
             HV-PROCTRAN-DESC
       END-IF
    ELSE
       MOVE 'CRE' TO HV-PROCTRAN-TYPE
       MOVE 'COUNTER RECVED' TO HV-PROCTRAN-DESC</t>
  </si>
  <si>
    <t xml:space="preserve">DBCRFUN-019</t>
  </si>
  <si>
    <t xml:space="preserve">509</t>
  </si>
  <si>
    <t xml:space="preserve">511-519</t>
  </si>
  <si>
    <t xml:space="preserve">If it is a credit from a PAYMENT</t>
  </si>
  <si>
    <t xml:space="preserve">       IF COMM-FACILTYPE = 496
          MOVE 'PCR' TO HV-PROCTRAN-TYPE
          MOVE COMM-ORIGIN(1:14) TO
             HV-PROCTRAN-DESC
       END-IF
    END-IF.
    MOVE COMM-AMT TO HV-PROCTRAN-AMOUNT.</t>
  </si>
  <si>
    <t xml:space="preserve">DBCRFUN-021</t>
  </si>
  <si>
    <t xml:space="preserve">552</t>
  </si>
  <si>
    <t xml:space="preserve">554-559</t>
  </si>
  <si>
    <t xml:space="preserve">Check the SQLCODE</t>
  </si>
  <si>
    <t xml:space="preserve">    IF SQLCODE NOT = 0
       MOVE SQLCODE TO SQLCODE-DISPLAY
       DISPLAY 'UNABLE TO WRITE TO PROCTRAN DB2 DATASTORE'
       ' SQLCODE=' SQLCODE-DISPLAY
       'WITH THE FOLLOWING DATA:' HOST-PROCTRAN-ROW</t>
  </si>
  <si>
    <t xml:space="preserve">comentário curto</t>
  </si>
  <si>
    <t xml:space="preserve">DBCRFUN-022</t>
  </si>
  <si>
    <t xml:space="preserve">561-562</t>
  </si>
  <si>
    <t xml:space="preserve">564-569</t>
  </si>
  <si>
    <t xml:space="preserve">You need to issue a ROLLBACK to get rid of the updated ACCOUNT record</t>
  </si>
  <si>
    <t xml:space="preserve">       EXEC CICS SYNCPOINT ROLLBACK
          RESP(WS-CICS-RESP)
          RESP2(WS-CICS-RESP2)
       END-EXEC
       IF WS-CICS-RESP NOT = DFHRESP(NORMAL)</t>
  </si>
  <si>
    <t xml:space="preserve">DBCRFUN-023</t>
  </si>
  <si>
    <t xml:space="preserve">571-574</t>
  </si>
  <si>
    <t xml:space="preserve">576-578</t>
  </si>
  <si>
    <t xml:space="preserve">Preserve the RESP and RESP2, then set up the standard ABEND info before getting the applid, date/time etc. and linking to the Abend Handler program.</t>
  </si>
  <si>
    <t xml:space="preserve">          INITIALIZE ABNDINFO-REC
          MOVE EIBRESP    TO ABND-RESPCODE
          MOVE EIBRESP2   TO ABND-RESP2CODE</t>
  </si>
  <si>
    <t xml:space="preserve">DBCRFUN-027</t>
  </si>
  <si>
    <t xml:space="preserve">671-672</t>
  </si>
  <si>
    <t xml:space="preserve">675-695</t>
  </si>
  <si>
    <t xml:space="preserve">Check if the Sqclode that is returned one that will trigger Storm Drain is active in Workload</t>
  </si>
  <si>
    <t xml:space="preserve">    EVALUATE SQLCODE
       WHEN 923
          MOVE 'DB2 Connection lost ' TO STORM-DRAIN-CONDITION
       WHEN OTHER
          MOVE 'Not Storm Drain     ' TO STORM-DRAIN-CONDITION
    END-EVALUATE.
    IF STORM-DRAIN-CONDITION NOT EQUAL 'Not Storm Drain     '
       DISPLAY 'DBCRFUN: Check-For-Storm-Drain-DB2: Storm '
               'Drain condition (' STORM-DRAIN-CONDITION ') '
               'has been met (' SQLCODE-DISPLAY ').'
    ELSE
       CONTINUE
    END-IF.
CFSDD999.
    EXIT.</t>
  </si>
  <si>
    <t xml:space="preserve">IF, EVALUATE, WHEN, falha</t>
  </si>
  <si>
    <t xml:space="preserve">DBCRFUN-029</t>
  </si>
  <si>
    <t xml:space="preserve">708-713</t>
  </si>
  <si>
    <t xml:space="preserve">716</t>
  </si>
  <si>
    <t xml:space="preserve">Evaluate the Abend code that is returned - For DB2 AD2Z ... provide some diagnostics - For VSAM RLS abends: AFCR, AFCS and AFCT record the Abend as happening but do not abend ... leave this to CPSM WLM "Storm drain" (Abend probability) to handle If not a "storm drain" ... take the abend afterwards</t>
  </si>
  <si>
    <t xml:space="preserve">    EVALUATE MY-ABEND-CODE</t>
  </si>
  <si>
    <t xml:space="preserve">EVALUATE</t>
  </si>
  <si>
    <t xml:space="preserve">DBCRFUN-030</t>
  </si>
  <si>
    <t xml:space="preserve">718</t>
  </si>
  <si>
    <t xml:space="preserve">720-735</t>
  </si>
  <si>
    <t xml:space="preserve">DB2 AD2Z abend</t>
  </si>
  <si>
    <t xml:space="preserve">       WHEN 'AD2Z'
          MOVE SQLCODE TO SQLCODE-DISPLAY
          DISPLAY 'DB2 DEADLOCK DETECTED IN DBCRFUN, SQLCODE='
             SQLCODE-DISPLAY
          DISPLAY 'DB2 DEADLOCK FOR ACCOUNT '
            HV-ACCOUNT-ACC-NO
          DISPLAY  'SQLSTATE=' SQLSTATE
                 ',SQLERRMC=' SQLERRMC(1:SQLERRML)
                 ',SQLERRD(1)=' SQLERRD(1)
                 ',SQLERRD(2)=' SQLERRD(2)
                 ',SQLERRD(3)=' SQLERRD(3)
                 ',SQLERRD(4)=' SQLERRD(4)
                 ',SQLERRD(5)=' SQLERRD(5)
                 ',SQLERRD(6)=' SQLERRD(6)</t>
  </si>
  <si>
    <t xml:space="preserve">WHEN, falha</t>
  </si>
  <si>
    <t xml:space="preserve">DBCRFUN-031</t>
  </si>
  <si>
    <t xml:space="preserve">738-740</t>
  </si>
  <si>
    <t xml:space="preserve">742-756</t>
  </si>
  <si>
    <t xml:space="preserve">VSAM RLS abends, subject to CPSM WLM Storm Drain check if handled (as here) and Workload Abend Thresholds are set.</t>
  </si>
  <si>
    <t xml:space="preserve">       WHEN 'AFCR'
       WHEN 'AFCS'
       WHEN 'AFCT'
          MOVE 'Y' TO WS-STORM-DRAIN
          DISPLAY 'DBCRFUN: Check-For-Storm-Drain-VSAM: Storm '
                 'Drain condition (Abend ' MY-ABEND-CODE ') '
                 'has been met.'
          EXEC CICS SYNCPOINT
             ROLLBACK
             RESP(WS-CICS-RESP)
             RESP2(WS-CICS-RESP2)
          END-EXEC
          IF WS-CICS-RESP NOT = DFHRESP(NORMAL)</t>
  </si>
  <si>
    <t xml:space="preserve">IF, WHEN, falha</t>
  </si>
  <si>
    <t xml:space="preserve">DBCRFUN-032</t>
  </si>
  <si>
    <t xml:space="preserve">758-761</t>
  </si>
  <si>
    <t xml:space="preserve">763-765</t>
  </si>
  <si>
    <t xml:space="preserve">             INITIALIZE ABNDINFO-REC
             MOVE EIBRESP    TO ABND-RESPCODE
             MOVE EIBRESP2   TO ABND-RESP2CODE</t>
  </si>
  <si>
    <t xml:space="preserve">XFRFUN-001</t>
  </si>
  <si>
    <t xml:space="preserve">286-287</t>
  </si>
  <si>
    <t xml:space="preserve">289-296</t>
  </si>
  <si>
    <t xml:space="preserve">If the amount being transferred is negative, then flag this as a failure and finish.</t>
  </si>
  <si>
    <t xml:space="preserve">    IF COMM-AMT &lt;= ZERO
      MOVE 'N' TO COMM-SUCCESS
      MOVE '4' TO COMM-FAIL-CODE
      PERFORM GET-ME-OUT-OF-HERE
    END-IF.
    PERFORM UPDATE-ACCOUNT-DB2</t>
  </si>
  <si>
    <t xml:space="preserve">XFRFUN-003</t>
  </si>
  <si>
    <t xml:space="preserve">313-314</t>
  </si>
  <si>
    <t xml:space="preserve">316-317</t>
  </si>
  <si>
    <t xml:space="preserve">Are we trying to transfer from and to the same account? We don't allow that.</t>
  </si>
  <si>
    <t xml:space="preserve">    IF COMM-FACCNO = COMM-TACCNO
       AND COMM-FSCODE = COMM-TSCODE</t>
  </si>
  <si>
    <t xml:space="preserve">XFRFUN-004</t>
  </si>
  <si>
    <t xml:space="preserve">319-322</t>
  </si>
  <si>
    <t xml:space="preserve">324-326</t>
  </si>
  <si>
    <t xml:space="preserve">       INITIALIZE ABNDINFO-REC
       MOVE EIBRESP    TO ABND-RESPCODE
       MOVE EIBRESP2   TO ABND-RESP2CODE</t>
  </si>
  <si>
    <t xml:space="preserve">XFRFUN-008</t>
  </si>
  <si>
    <t xml:space="preserve">392</t>
  </si>
  <si>
    <t xml:space="preserve">394-398</t>
  </si>
  <si>
    <t xml:space="preserve">If the update was successful, update the TO account</t>
  </si>
  <si>
    <t xml:space="preserve">       IF COMM-SUCCESS = 'Y'
          MOVE COMM-TACCNO TO DESIRED-ACC-NO
          MOVE COMM-TSCODE TO DESIRED-SORT-CODE
          PERFORM UPDATE-ACCOUNT-DB2-TO</t>
  </si>
  <si>
    <t xml:space="preserve">XFRFUN-009</t>
  </si>
  <si>
    <t xml:space="preserve">401-402</t>
  </si>
  <si>
    <t xml:space="preserve">404-413</t>
  </si>
  <si>
    <t xml:space="preserve">If the update to the TO account was unsuccessful then we need to flag it and roll it back</t>
  </si>
  <si>
    <t xml:space="preserve">          IF COMM-SUCCESS = 'N'
             IF COMM-FAIL-CODE = '2'
                EXEC CICS SYNCPOINT
                   ROLLBACK
                   RESP(WS-CICS-RESP)
                   RESP2(WS-CICS-RESP2)
                END-EXEC
                IF WS-CICS-RESP IS NOT EQUAL TO DFHRESP(NORMAL)</t>
  </si>
  <si>
    <t xml:space="preserve">XFRFUN-010</t>
  </si>
  <si>
    <t xml:space="preserve">415-418</t>
  </si>
  <si>
    <t xml:space="preserve">420-422</t>
  </si>
  <si>
    <t xml:space="preserve">                   INITIALIZE ABNDINFO-REC
                   MOVE EIBRESP    TO ABND-RESPCODE
                   MOVE EIBRESP2   TO ABND-RESP2CODE</t>
  </si>
  <si>
    <t xml:space="preserve">XFRFUN-012</t>
  </si>
  <si>
    <t xml:space="preserve">483-484</t>
  </si>
  <si>
    <t xml:space="preserve">486-496</t>
  </si>
  <si>
    <t xml:space="preserve">If the COMM-FLAG is anything else other than 2 then abend.</t>
  </si>
  <si>
    <t xml:space="preserve">                DISPLAY 'Error updating TO account'
                EXEC CICS ABEND
                   ABCODE('TO  ')
                   NODUMP
                END-EXEC
             END-IF
          END-IF
       ELSE</t>
  </si>
  <si>
    <t xml:space="preserve">XFRFUN-013</t>
  </si>
  <si>
    <t xml:space="preserve">498-499</t>
  </si>
  <si>
    <t xml:space="preserve">501-507</t>
  </si>
  <si>
    <t xml:space="preserve">If the update to the FROM account was not successful rollback.</t>
  </si>
  <si>
    <t xml:space="preserve">          IF COMM-FAIL-CODE = '1'
             EXEC CICS SYNCPOINT
                ROLLBACK
                RESP(WS-CICS-RESP)
                RESP2(WS-CICS-RESP2)
             END-EXEC</t>
  </si>
  <si>
    <t xml:space="preserve">XFRFUN-014</t>
  </si>
  <si>
    <t xml:space="preserve">510</t>
  </si>
  <si>
    <t xml:space="preserve">512-526</t>
  </si>
  <si>
    <t xml:space="preserve">If the ROLLback failed</t>
  </si>
  <si>
    <t xml:space="preserve">             IF WS-CICS-RESP IS NOT EQUAL TO DFHRESP(NORMAL)
                DISPLAY 'XFRFUN error syncpoint '
                   ' rollback after '
                   'updating FROM account '
                   ',RESP=' WS-CICS-RESP
                   ',RESP2=' WS-CICS-RESP2
                EXEC CICS ABEND
                   ABCODE('HROL')
                   NODUMP
                END-EXEC
             END-IF
             GO TO UAD999
          ELSE</t>
  </si>
  <si>
    <t xml:space="preserve">XFRFUN-015</t>
  </si>
  <si>
    <t xml:space="preserve">528-531</t>
  </si>
  <si>
    <t xml:space="preserve">533-535</t>
  </si>
  <si>
    <t xml:space="preserve">XFRFUN-019</t>
  </si>
  <si>
    <t xml:space="preserve">603-604</t>
  </si>
  <si>
    <t xml:space="preserve">606-610</t>
  </si>
  <si>
    <t xml:space="preserve">If the update to the TO account was successful then update the FROM account</t>
  </si>
  <si>
    <t xml:space="preserve">       IF COMM-SUCCESS = 'Y'
          MOVE COMM-FACCNO TO DESIRED-ACC-NO
          MOVE COMM-FSCODE TO DESIRED-SORT-CODE
          PERFORM UPDATE-ACCOUNT-DB2-FROM</t>
  </si>
  <si>
    <t xml:space="preserve">XFRFUN-020</t>
  </si>
  <si>
    <t xml:space="preserve">613</t>
  </si>
  <si>
    <t xml:space="preserve">615-617</t>
  </si>
  <si>
    <t xml:space="preserve">Did the update to the FROM account work?</t>
  </si>
  <si>
    <t xml:space="preserve">          IF COMM-SUCCESS = 'N'
             IF COMM-FAIL-CODE NOT = '1'</t>
  </si>
  <si>
    <t xml:space="preserve">XFRFUN-021</t>
  </si>
  <si>
    <t xml:space="preserve">619-622</t>
  </si>
  <si>
    <t xml:space="preserve">624-626</t>
  </si>
  <si>
    <t xml:space="preserve">                INITIALIZE ABNDINFO-REC
                MOVE EIBRESP    TO ABND-RESPCODE
                MOVE EIBRESP2   TO ABND-RESP2CODE</t>
  </si>
  <si>
    <t xml:space="preserve">XFRFUN-024</t>
  </si>
  <si>
    <t xml:space="preserve">685</t>
  </si>
  <si>
    <t xml:space="preserve">687</t>
  </si>
  <si>
    <t xml:space="preserve">If that rollback didn't work</t>
  </si>
  <si>
    <t xml:space="preserve">                IF WS-CICS-RESP IS NOT EQUAL TO DFHRESP(NORMAL)</t>
  </si>
  <si>
    <t xml:space="preserve">XFRFUN-025</t>
  </si>
  <si>
    <t xml:space="preserve">689-692</t>
  </si>
  <si>
    <t xml:space="preserve">694-696</t>
  </si>
  <si>
    <t xml:space="preserve">XFRFUN-027</t>
  </si>
  <si>
    <t xml:space="preserve">763-764</t>
  </si>
  <si>
    <t xml:space="preserve">766</t>
  </si>
  <si>
    <t xml:space="preserve">If the update to the TO account was NOT successful &amp; the fail code isn't = '2'</t>
  </si>
  <si>
    <t xml:space="preserve">          IF COMM-FAIL-CODE NOT = '2'</t>
  </si>
  <si>
    <t xml:space="preserve">XFRFUN-028</t>
  </si>
  <si>
    <t xml:space="preserve">768-771</t>
  </si>
  <si>
    <t xml:space="preserve">773-775</t>
  </si>
  <si>
    <t xml:space="preserve">XFRFUN-030</t>
  </si>
  <si>
    <t xml:space="preserve">834-837</t>
  </si>
  <si>
    <t xml:space="preserve">839-841</t>
  </si>
  <si>
    <t xml:space="preserve">XFRFUN-034</t>
  </si>
  <si>
    <t xml:space="preserve">961-962</t>
  </si>
  <si>
    <t xml:space="preserve">964-971</t>
  </si>
  <si>
    <t xml:space="preserve">Check that select was successful. If it wasn't then set the COMMAREA return flags accordingly.</t>
  </si>
  <si>
    <t xml:space="preserve">    IF SQLCODE NOT = 0
       MOVE 'N' TO COMM-SUCCESS
       IF SQLCODE = +100
          MOVE '1' TO COMM-FAIL-CODE
       ELSE
          MOVE '3' TO COMM-FAIL-CODE
       END-IF</t>
  </si>
  <si>
    <t xml:space="preserve">XFRFUN-037</t>
  </si>
  <si>
    <t xml:space="preserve">1011-1012</t>
  </si>
  <si>
    <t xml:space="preserve">1014-1017</t>
  </si>
  <si>
    <t xml:space="preserve">If the RESP CODE was NOT OK then we need to indicate a failure</t>
  </si>
  <si>
    <t xml:space="preserve">    IF SQLCODE NOT = 0
       MOVE 'N' TO COMM-SUCCESS
       MOVE '3' TO COMM-FAIL-CODE</t>
  </si>
  <si>
    <t xml:space="preserve">XFRFUN-041</t>
  </si>
  <si>
    <t xml:space="preserve">1088-1089</t>
  </si>
  <si>
    <t xml:space="preserve">1091-1092</t>
  </si>
  <si>
    <t xml:space="preserve">Check that SELECT was successful. If it wasn't then set the return flags accordingly.</t>
  </si>
  <si>
    <t xml:space="preserve">    IF SQLCODE NOT = 0
       MOVE 'N' TO COMM-SUCCESS</t>
  </si>
  <si>
    <t xml:space="preserve">XFRFUN-043</t>
  </si>
  <si>
    <t xml:space="preserve">1100</t>
  </si>
  <si>
    <t xml:space="preserve">1102-1116</t>
  </si>
  <si>
    <t xml:space="preserve">If the TO account was not found</t>
  </si>
  <si>
    <t xml:space="preserve">       IF SQLCODE = +100
          MOVE '2' TO COMM-FAIL-CODE
          MOVE SQLCODE TO SQLCODE-DISPLAY
          DISPLAY 'UPDATE UNABLE TO READ TO ACC'
             HV-ACCOUNT-SORTCODE '/' HV-ACCOUNT-ACC-NO
             ' ROLLBACK TO AVOID DATA INCONSISTENCY.'
             'SQLCODE=' SQLCODE-DISPLAY
          EXEC CICS SYNCPOINT ROLLBACK
            RESP(WS-CICS-RESP)
            RESP2(WS-CICS-RESP2)
          END-EXEC
          IF WS-CICS-RESP IS NOT EQUAL TO DFHRESP(NORMAL)</t>
  </si>
  <si>
    <t xml:space="preserve">XFRFUN-044</t>
  </si>
  <si>
    <t xml:space="preserve">1118-1121</t>
  </si>
  <si>
    <t xml:space="preserve">1123-1125</t>
  </si>
  <si>
    <t xml:space="preserve">XFRFUN-046</t>
  </si>
  <si>
    <t xml:space="preserve">1185-1186</t>
  </si>
  <si>
    <t xml:space="preserve">1188-1211</t>
  </si>
  <si>
    <t xml:space="preserve">If the failure isn't down to the row NOT being found (it failed for some other reason)</t>
  </si>
  <si>
    <t xml:space="preserve">          MOVE '3' TO COMM-FAIL-CODE
          MOVE SQLCODE TO SQLCODE-DISPLAY
          DISPLAY 'UPDATE UNABLE TO READ TO ACC'
             HV-ACCOUNT-SORTCODE HV-ACCOUNT-ACC-NO
             ' ABENDING TO AVOID DATA INCONSISTENCY. SQLCODE='
             SQLCODE-DISPLAY
             ' SQLERRD(3) IS ' SQLERRD(3)
          IF SQLCODE = -911
             IF SQLERRD(3) = 13172872
                DISPLAY 'DEADLOCK DETECTED!'
                ADD 1 TO DB2-DEADLOCK-RETRY
                IF DB2-DEADLOCK-RETRY &lt; 6
                   EXEC CICS SYNCPOINT
                      ROLLBACK
                      RESP(WS-CICS-RESP)
                      RESP2(WS-CICS-RESP2)
                   END-EXEC
                   IF WS-CICS-RESP IS NOT EQUAL TO
                   DFHRESP(NORMAL)</t>
  </si>
  <si>
    <t xml:space="preserve">XFRFUN-047</t>
  </si>
  <si>
    <t xml:space="preserve">1214-1217</t>
  </si>
  <si>
    <t xml:space="preserve">1219-1221</t>
  </si>
  <si>
    <t xml:space="preserve">Preserve the RESP and RESP2, then set up the standard ABEND info before getting the applid, date/time etc. and link to the Abend Handler program.</t>
  </si>
  <si>
    <t xml:space="preserve">                      INITIALIZE ABNDINFO-REC
                      MOVE EIBRESP    TO ABND-RESPCODE
                      MOVE EIBRESP2   TO ABND-RESP2CODE</t>
  </si>
  <si>
    <t xml:space="preserve">XFRFUN-049</t>
  </si>
  <si>
    <t xml:space="preserve">1293-1296</t>
  </si>
  <si>
    <t xml:space="preserve">1298-1300</t>
  </si>
  <si>
    <t xml:space="preserve">XFRFUN-050</t>
  </si>
  <si>
    <t xml:space="preserve">1302</t>
  </si>
  <si>
    <t xml:space="preserve">1304-1342</t>
  </si>
  <si>
    <t xml:space="preserve">Get supplemental information</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</si>
  <si>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'RUF2'      TO ABND-CODE
             EXEC CICS ASSIGN PROGRAM(ABND-PROGRAM)
             END-EXEC
             MOVE ZEROS      TO ABND-SQLCODE
             IF SQLERRD(3) = 13172894
                STRING 'UAD010-TO(3) - timeout detected '
                   DELIMITED BY SIZE,
                   ' EIBRESP=' DELIMITED BY SIZE,
                   ABND-RESPCODE DELIMITED BY SIZE,
                   'RESP2=' DELIMITED BY SIZE,
                   ABND-RESP2CODE DELIMITED BY SIZE
                   INTO ABND-FREEFORM
                END-STRING
             END-IF
             EXEC CICS LINK PROGRAM(WS-ABEND-PGM)
                    COMMAREA(ABNDINFO-REC)</t>
  </si>
  <si>
    <t xml:space="preserve">comentário curto; trecho truncado (30 linhas)</t>
  </si>
  <si>
    <t xml:space="preserve">XFRFUN-052</t>
  </si>
  <si>
    <t xml:space="preserve">1382</t>
  </si>
  <si>
    <t xml:space="preserve">1384-1389</t>
  </si>
  <si>
    <t xml:space="preserve">If the RESP CODE was NOT OK then we need to abend</t>
  </si>
  <si>
    <t xml:space="preserve">    IF SQLCODE NOT = 0
       MOVE SQLCODE TO SQLCODE-DISPLAY
       DISPLAY 'UNABLE TO UPDATE TO ACCOUNT.'
          HV-ACCOUNT-SORTCODE HV-ACCOUNT-ACC-NO
          'THE SQLCODE=' SQLCODE-DISPLAY
          ' SQLERRD(3) ' SQLERRD(3)</t>
  </si>
  <si>
    <t xml:space="preserve">XFRFUN-053</t>
  </si>
  <si>
    <t xml:space="preserve">1392-1393</t>
  </si>
  <si>
    <t xml:space="preserve">1395-1409</t>
  </si>
  <si>
    <t xml:space="preserve">Check if SQLCODE indicates that Storm Drain processing is applicable in a workload if activated</t>
  </si>
  <si>
    <t xml:space="preserve">       PERFORM CHECK-FOR-STORM-DRAIN-DB2
       IF SQLCODE = -911
          IF SQLERRD(3) = 13172872
             DISPLAY 'DEADLOCK DETECTED!'
             ADD 1 TO DB2-DEADLOCK-RETRY
             IF DB2-DEADLOCK-RETRY &lt; 6
                EXEC CICS SYNCPOINT
                   ROLLBACK
                   RESP(WS-CICS-RESP)
                   RESP2(WS-CICS-RESP2)
                END-EXEC
                IF WS-CICS-RESP IS NOT EQUAL TO DFHRESP(NORMAL)</t>
  </si>
  <si>
    <t xml:space="preserve">XFRFUN-054</t>
  </si>
  <si>
    <t xml:space="preserve">1412-1415</t>
  </si>
  <si>
    <t xml:space="preserve">1417-1419</t>
  </si>
  <si>
    <t xml:space="preserve">XFRFUN-056</t>
  </si>
  <si>
    <t xml:space="preserve">1493-1496</t>
  </si>
  <si>
    <t xml:space="preserve">1498-1500</t>
  </si>
  <si>
    <t xml:space="preserve">XFRFUN-057</t>
  </si>
  <si>
    <t xml:space="preserve">1502</t>
  </si>
  <si>
    <t xml:space="preserve">1504-1542</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</si>
  <si>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'RUF2'      TO ABND-CODE
       EXEC CICS ASSIGN PROGRAM(ABND-PROGRAM)
       END-EXEC
       MOVE ZEROS      TO ABND-SQLCODE
       IF SQLERRD(3) = 13172872
          STRING 'UAD010-TO(5) - timeout detected '
                DELIMITED BY SIZE,
                ' EIBRESP=' DELIMITED BY SIZE,
                ABND-RESPCODE DELIMITED BY SIZE,
                ' RESP2=' DELIMITED BY SIZE,
                ABND-RESP2CODE DELIMITED BY SIZE
                INTO ABND-FREEFORM
          END-STRING
       END-IF
       EXEC CICS LINK PROGRAM(WS-ABEND-PGM)
                    COMMAREA(ABNDINFO-REC)</t>
  </si>
  <si>
    <t xml:space="preserve">XFRFUN-061</t>
  </si>
  <si>
    <t xml:space="preserve">1644</t>
  </si>
  <si>
    <t xml:space="preserve">1646-1648</t>
  </si>
  <si>
    <t xml:space="preserve">    IF SQLCODE NOT = 0
       MOVE SQLCODE TO WS-SQLCODE-DISP</t>
  </si>
  <si>
    <t xml:space="preserve">XFRFUN-062</t>
  </si>
  <si>
    <t xml:space="preserve">1650-1653</t>
  </si>
  <si>
    <t xml:space="preserve">1655-1657</t>
  </si>
  <si>
    <t xml:space="preserve">XFRFUN-064</t>
  </si>
  <si>
    <t xml:space="preserve">1711-1712</t>
  </si>
  <si>
    <t xml:space="preserve">1714-1738</t>
  </si>
  <si>
    <t xml:space="preserve">       PERFORM CHECK-FOR-STORM-DRAIN-DB2
       EXEC CICS ABEND
          ABCODE('WPCD')
       END-EXEC
    END-IF.
WTPD999.
    EXIT.
GET-ME-OUT-OF-HERE SECTION.
GMOOH010.
    EXEC CICS RETURN
    END-EXEC.
    GOBACK.
GMOOH999.
    EXIT.
CHECK-FOR-STORM-DRAIN-DB2 SECTION.
CFSDD010.</t>
  </si>
  <si>
    <t xml:space="preserve">XFRFUN-065</t>
  </si>
  <si>
    <t xml:space="preserve">1741-1742</t>
  </si>
  <si>
    <t xml:space="preserve">1744-1770</t>
  </si>
  <si>
    <t xml:space="preserve">Check if the Sqlcode that is returned one that will trigger Storm Drain is active in Workload</t>
  </si>
  <si>
    <t xml:space="preserve">    EVALUATE SQLCODE
       WHEN 923
          MOVE 'DB2 Connection lost ' TO STORM-DRAIN-CONDITION
       WHEN OTHER
          MOVE 'Not Storm Drain     ' TO STORM-DRAIN-CONDITION
    END-EVALUATE.
    IF STORM-DRAIN-CONDITION NOT EQUAL 'Not Storm Drain     '
       DISPLAY 'XFRFUN: Check-For-Storm-Drain-DB2: Storm '
               'Drain condition (' STORM-DRAIN-CONDITION ') '
               'has been met (' SQLCODE-DISPLAY ').'
    ELSE
       CONTINUE
    END-IF.
CFSDD999.
    EXIT.
ABEND-HANDLING SECTION.
AH010.</t>
  </si>
  <si>
    <t xml:space="preserve">XFRFUN-067</t>
  </si>
  <si>
    <t xml:space="preserve">1779-1784</t>
  </si>
  <si>
    <t xml:space="preserve">1786</t>
  </si>
  <si>
    <t xml:space="preserve">XFRFUN-068</t>
  </si>
  <si>
    <t xml:space="preserve">1789</t>
  </si>
  <si>
    <t xml:space="preserve">1791-1821</t>
  </si>
  <si>
    <t xml:space="preserve">       WHEN 'AD2Z'
          MOVE SQLCODE TO SQLCODE-DISPLAY
          DISPLAY 'DB2 DEADLOCK DETECTED IN XFRFUN, SQLCODE='
             SQLCODE-DISPLAY
          DISPLAY 'DB2 DEADLOCK FOR ACCOUNT '
             HV-ACCOUNT-ACC-NO
          DISPLAY  'SQLSTATE=' SQLSTATE
                 ',SQLERRMC=' SQLERRMC(1:SQLERRML)
                 ',SQLERRD(1)=' SQLERRD(1)
                 ',SQLERRD(2)=' SQLERRD(2)
                 ',SQLERRD(3)=' SQLERRD(3)
                 ',SQLERRD(4)=' SQLERRD(4)
                 ',SQLERRD(5)=' SQLERRD(5)
                 ',SQLERRD(6)=' SQLERRD(6)
       WHEN 'AFCR'
       WHEN 'AFCS'
       WHEN 'AFCT'
          MOVE 'Y' TO WS-STORM-DRAIN
          DISPLAY 'XFRFUN: Check-For-Storm-Drain-VSAM: Storm '
                'Drain condition (Abend ' MY-ABEND-CODE ') '
                'has been met.'
          EXEC CICS SYNCPOINT
             ROLLBACK
             RESP(WS-CICS-RESP)
             RESP2(WS-CICS-RESP2)
          END-EXEC
          IF WS-CICS-RESP NOT = DFHRESP(NORMAL)</t>
  </si>
  <si>
    <t xml:space="preserve">XFRFUN-069</t>
  </si>
  <si>
    <t xml:space="preserve">1823-1826</t>
  </si>
  <si>
    <t xml:space="preserve">1828-1830</t>
  </si>
  <si>
    <t xml:space="preserve">BNK1CRA-001</t>
  </si>
  <si>
    <t xml:space="preserve">182-183</t>
  </si>
  <si>
    <t xml:space="preserve">185-189</t>
  </si>
  <si>
    <t xml:space="preserve">Is it the first time through? If so, send the map with erased (empty) data fields.</t>
  </si>
  <si>
    <t xml:space="preserve">       WHEN EIBCALEN = ZERO
          MOVE LOW-VALUE TO BNK1CDO
          MOVE -1 TO ACCNOL
          SET SEND-ERASE TO TRUE
          PERFORM SEND-MAP</t>
  </si>
  <si>
    <t xml:space="preserve">WHEN</t>
  </si>
  <si>
    <t xml:space="preserve">BNK1CRA-002</t>
  </si>
  <si>
    <t xml:space="preserve">192</t>
  </si>
  <si>
    <t xml:space="preserve">194-195</t>
  </si>
  <si>
    <t xml:space="preserve">If a PA key is pressed, just carry on</t>
  </si>
  <si>
    <t xml:space="preserve">       WHEN EIBAID = DFHPA1 OR DFHPA2 OR DFHPA3
          CONTINUE</t>
  </si>
  <si>
    <t xml:space="preserve">BNK1CRA-003</t>
  </si>
  <si>
    <t xml:space="preserve">198</t>
  </si>
  <si>
    <t xml:space="preserve">200-206</t>
  </si>
  <si>
    <t xml:space="preserve">When Pf3 is pressed, return to the main menu</t>
  </si>
  <si>
    <t xml:space="preserve">       WHEN EIBAID = DFHPF3
          EXEC CICS RETURN
             TRANSID('OMEN')
             IMMEDIATE
             RESP(WS-CICS-RESP)
             RESP2(WS-CICS-RESP2)
          END-EXEC</t>
  </si>
  <si>
    <t xml:space="preserve">BNK1CRA-004</t>
  </si>
  <si>
    <t xml:space="preserve">209-210</t>
  </si>
  <si>
    <t xml:space="preserve">212-217</t>
  </si>
  <si>
    <t xml:space="preserve">If the aid or Pf12 is pressed, then send a termination message.</t>
  </si>
  <si>
    <t xml:space="preserve">       WHEN EIBAID = DFHAID OR DFHPF12
          PERFORM SEND-TERMINATION-MSG
          EXEC CICS
             RETURN
          END-EXEC</t>
  </si>
  <si>
    <t xml:space="preserve">BNK1CRA-005</t>
  </si>
  <si>
    <t xml:space="preserve">220</t>
  </si>
  <si>
    <t xml:space="preserve">222-229</t>
  </si>
  <si>
    <t xml:space="preserve">When CLEAR is pressed</t>
  </si>
  <si>
    <t xml:space="preserve">       WHEN EIBAID = DFHCLEAR
         EXEC CICS SEND CONTROL
                   ERASE
                   FREEKB
         END-EXEC
         EXEC CICS RETURN
         END-EXEC</t>
  </si>
  <si>
    <t xml:space="preserve">BNK1CRA-006</t>
  </si>
  <si>
    <t xml:space="preserve">232</t>
  </si>
  <si>
    <t xml:space="preserve">234-235</t>
  </si>
  <si>
    <t xml:space="preserve">When enter is pressed then process the content</t>
  </si>
  <si>
    <t xml:space="preserve">       WHEN EIBAID = DFHENTER
          PERFORM PROCESS-MAP</t>
  </si>
  <si>
    <t xml:space="preserve">BNK1CRA-007</t>
  </si>
  <si>
    <t xml:space="preserve">238</t>
  </si>
  <si>
    <t xml:space="preserve">240-247</t>
  </si>
  <si>
    <t xml:space="preserve">When anything else happens, send the invalid key message</t>
  </si>
  <si>
    <t xml:space="preserve">       WHEN OTHER
          MOVE LOW-VALUES TO BNK1CDO
          MOVE 'Invalid key pressed.' TO MESSAGEO
          MOVE 8 TO ACCNOL
          SET SEND-DATAONLY-ALARM TO TRUE
          PERFORM SEND-MAP
    END-EVALUATE.</t>
  </si>
  <si>
    <t xml:space="preserve">BNK1CRA-008</t>
  </si>
  <si>
    <t xml:space="preserve">250-253</t>
  </si>
  <si>
    <t xml:space="preserve">255-271</t>
  </si>
  <si>
    <t xml:space="preserve">Provided that we have been around this way before (i.e. it is NOT the first time through, put the data returned from the sub program into the area that we use as the COMMAREA on the RETURN.</t>
  </si>
  <si>
    <t xml:space="preserve">    IF EIBCALEN NOT = ZERO
       MOVE COMM-ACCNO  TO WS-COMM-ACCNO
       MOVE COMM-SIGN   TO  WS-COMM-SIGN
       MOVE COMM-AMT    TO WS-COMM-AMT
    END-IF.
    EXEC CICS
       RETURN TRANSID('OCRA')
       COMMAREA(WS-COMM-AREA)
       LENGTH(21)
       RESP(WS-CICS-RESP)
       RESP2(WS-CICS-RESP2)
    END-EXEC.
    IF WS-CICS-RESP NOT = DFHRESP(NORMAL)</t>
  </si>
  <si>
    <t xml:space="preserve">BNK1CRA-009</t>
  </si>
  <si>
    <t xml:space="preserve">273-276</t>
  </si>
  <si>
    <t xml:space="preserve">278-280</t>
  </si>
  <si>
    <t xml:space="preserve">BNK1CRA-013</t>
  </si>
  <si>
    <t xml:space="preserve">347-348</t>
  </si>
  <si>
    <t xml:space="preserve">350-354</t>
  </si>
  <si>
    <t xml:space="preserve">If the data passes validation go on to apply the debit or credit.</t>
  </si>
  <si>
    <t xml:space="preserve">    IF VALID-DATA
       PERFORM UPD-CRED-DATA
    END-IF.
    SET SEND-DATAONLY-ALARM TO TRUE.</t>
  </si>
  <si>
    <t xml:space="preserve">BNK1CRA-015</t>
  </si>
  <si>
    <t xml:space="preserve">368</t>
  </si>
  <si>
    <t xml:space="preserve">370-378</t>
  </si>
  <si>
    <t xml:space="preserve">Retrieve the data</t>
  </si>
  <si>
    <t xml:space="preserve">    EXEC CICS
       RECEIVE MAP('BNK1CD')
       MAPSET('BNK1CDM')
       INTO(BNK1CDI)
       RESP(WS-CICS-RESP)
       RESP2(WS-CICS-RESP2)
    END-EXEC.
    IF WS-CICS-RESP NOT = DFHRESP(NORMAL)</t>
  </si>
  <si>
    <t xml:space="preserve">BNK1CRA-016</t>
  </si>
  <si>
    <t xml:space="preserve">380-383</t>
  </si>
  <si>
    <t xml:space="preserve">385-387</t>
  </si>
  <si>
    <t xml:space="preserve">BNK1CRA-018</t>
  </si>
  <si>
    <t xml:space="preserve">444</t>
  </si>
  <si>
    <t xml:space="preserve">446-469</t>
  </si>
  <si>
    <t xml:space="preserve">Perform validation on the incoming fields</t>
  </si>
  <si>
    <t xml:space="preserve">    EXEC CICS BIF
       DEEDIT FIELD(ACCNOI)
    END-EXEC.
    IF ACCNOI NOT NUMERIC
       MOVE 'Please enter an account number.  ' TO
          MESSAGEO
       MOVE 'N' TO VALID-DATA-SW
       GO TO ED999
    END-IF.
    IF ACCNOI = ZERO
       MOVE 'Please enter a non zero account number.   ' TO
          MESSAGEO
       MOVE 'N' TO VALID-DATA-SW
       GO TO ED999
    END-IF.
    IF SIGNI NOT = '+' AND SIGNI NOT = '-' AND SIGNL = 1
       MOVE 'Please enter + or - preceding the amount ' TO
          MESSAGEO
       MOVE 'N' TO VALID-DATA-SW
       GO TO ED999
    END-IF.</t>
  </si>
  <si>
    <t xml:space="preserve">BNK1CRA-021</t>
  </si>
  <si>
    <t xml:space="preserve">492</t>
  </si>
  <si>
    <t xml:space="preserve">494-498</t>
  </si>
  <si>
    <t xml:space="preserve">Provide the correct Amount</t>
  </si>
  <si>
    <t xml:space="preserve">    IF SIGNI = '-'
       COMPUTE WS-AMOUNT-AS-FLOAT = WS-AMOUNT-AS-FLOAT * -1
    END-IF.
    MOVE WS-AMOUNT-AS-FLOAT TO SUBPGM-AMT.</t>
  </si>
  <si>
    <t xml:space="preserve">BNK1CRA-022</t>
  </si>
  <si>
    <t xml:space="preserve">501</t>
  </si>
  <si>
    <t xml:space="preserve">503-519</t>
  </si>
  <si>
    <t xml:space="preserve">Get the ORIGIN data</t>
  </si>
  <si>
    <t xml:space="preserve">    EXEC CICS INQUIRE ASSOCIATION(EIBTASKN)
        ODAPPLID(SUBPGM-APPLID)
        ODUSERID(SUBPGM-USERID)
        ODFACILNAME(SUBPGM-FACILITY-NAME)
        ODNETWORKID(SUBPGM-NETWRK-ID)
        ODFACILTYPE(SUBPGM-FACILTYPE)
    END-EXEC.
    EXEC CICS LINK
       PROGRAM('DBCRFUN')
       COMMAREA(SUBPGM-PARMS)
       RESP(WS-CICS-RESP)
       RESP2(WS-CICS-RESP2)
       SYNCONRETURN
    END-EXEC.
    IF WS-CICS-RESP NOT = DFHRESP(NORMAL)</t>
  </si>
  <si>
    <t xml:space="preserve">BNK1CRA-023</t>
  </si>
  <si>
    <t xml:space="preserve">521-524</t>
  </si>
  <si>
    <t xml:space="preserve">526-528</t>
  </si>
  <si>
    <t xml:space="preserve">BNK1CRA-025</t>
  </si>
  <si>
    <t xml:space="preserve">579</t>
  </si>
  <si>
    <t xml:space="preserve">581-615</t>
  </si>
  <si>
    <t xml:space="preserve">Check to see if the debit or credit was successful</t>
  </si>
  <si>
    <t xml:space="preserve">    IF SUBPGM-SUCCESS = 'N'
       MOVE 'N' TO VALID-DATA-SW
       EVALUATE SUBPGM-FAIL-CODE
          WHEN '1'
             MOVE SPACES TO MESSAGEO
             STRING 'Sorry but the ACCOUNT no was not found'
                    ' for SORTCODE '
                    SUBPGM-SORTC
                    ' . Amount not applied. '
                    DELIMITED BY SIZE
                    INTO MESSAGEO
             GO TO UCD999
          WHEN '2'
             MOVE SPACES TO MESSAGEO
             STRING 'Sorry but the AMOUNT could not be applied'
                    ' due to an unexpected error.'
                    DELIMITED BY SIZE
                    INTO MESSAGEO
             GO TO UCD999
          WHEN '3'
             MOVE SPACES TO MESSAGEO
             STRING 'Sorry insufficient funds available to pro'
                    'cess the request.           '
                    DELIMITED BY SIZE
                    INTO MESSAGEO
             GO TO UCD999
          WHEN OTHER
             MOVE SPACES TO MESSAGEO
             STRING 'Sorry but the AMOUNT could not be applied'
                    ' due to an unexpected error. '</t>
  </si>
  <si>
    <t xml:space="preserve">IF, EVALUATE, WHEN</t>
  </si>
  <si>
    <t xml:space="preserve">trecho truncado (30 linhas)</t>
  </si>
  <si>
    <t xml:space="preserve">BNK1CRA-027</t>
  </si>
  <si>
    <t xml:space="preserve">646</t>
  </si>
  <si>
    <t xml:space="preserve">648-657</t>
  </si>
  <si>
    <t xml:space="preserve">If the map needs to have its data erased</t>
  </si>
  <si>
    <t xml:space="preserve">    IF SEND-ERASE
       EXEC CICS SEND MAP('BNK1CD')
          MAPSET('BNK1CDM')
          FROM(BNK1CDO)
          ERASE
          RESP(WS-CICS-RESP)
          RESP2(WS-CICS-RESP2)
       END-EXEC
       IF WS-CICS-RESP NOT = DFHRESP(NORMAL)</t>
  </si>
  <si>
    <t xml:space="preserve">BNK1CRA-028</t>
  </si>
  <si>
    <t xml:space="preserve">659-662</t>
  </si>
  <si>
    <t xml:space="preserve">664-666</t>
  </si>
  <si>
    <t xml:space="preserve">BNK1CRA-030</t>
  </si>
  <si>
    <t xml:space="preserve">720</t>
  </si>
  <si>
    <t xml:space="preserve">722-731</t>
  </si>
  <si>
    <t xml:space="preserve">If the map just needs a resend of only the data</t>
  </si>
  <si>
    <t xml:space="preserve">    IF SEND-DATAONLY
       EXEC CICS SEND MAP('BNK1CD')
          MAPSET('BNK1CDM')
          FROM(BNK1CDO)
          DATAONLY
          RESP(WS-CICS-RESP)
          RESP2(WS-CICS-RESP2)
       END-EXEC
       IF WS-CICS-RESP NOT = DFHRESP(NORMAL)</t>
  </si>
  <si>
    <t xml:space="preserve">BNK1CRA-031</t>
  </si>
  <si>
    <t xml:space="preserve">733-736</t>
  </si>
  <si>
    <t xml:space="preserve">BNK1CRA-033</t>
  </si>
  <si>
    <t xml:space="preserve">794</t>
  </si>
  <si>
    <t xml:space="preserve">796-806</t>
  </si>
  <si>
    <t xml:space="preserve">If we have elected to send the map and a beep</t>
  </si>
  <si>
    <t xml:space="preserve">    IF SEND-DATAONLY-ALARM
       EXEC CICS SEND MAP('BNK1CD')
          MAPSET('BNK1CDM')
          FROM(BNK1CDO)
          DATAONLY
          ALARM
          RESP(WS-CICS-RESP)
          RESP2(WS-CICS-RESP2)
       END-EXEC
       IF WS-CICS-RESP NOT = DFHRESP(NORMAL)</t>
  </si>
  <si>
    <t xml:space="preserve">BNK1CRA-034</t>
  </si>
  <si>
    <t xml:space="preserve">808-811</t>
  </si>
  <si>
    <t xml:space="preserve">813-815</t>
  </si>
  <si>
    <t xml:space="preserve">BNK1CRA-036</t>
  </si>
  <si>
    <t xml:space="preserve">874</t>
  </si>
  <si>
    <t xml:space="preserve">876-884</t>
  </si>
  <si>
    <t xml:space="preserve">Send the termination message</t>
  </si>
  <si>
    <t xml:space="preserve">    EXEC CICS SEND TEXT
       FROM(END-OF-SESSION-MESSAGE)
       ERASE
       FREEKB
       RESP(WS-CICS-RESP)
       RESP2(WS-CICS-RESP2)
    END-EXEC.
    IF WS-CICS-RESP NOT = DFHRESP(NORMAL)</t>
  </si>
  <si>
    <t xml:space="preserve">BNK1CRA-037</t>
  </si>
  <si>
    <t xml:space="preserve">886-889</t>
  </si>
  <si>
    <t xml:space="preserve">891-893</t>
  </si>
  <si>
    <t xml:space="preserve">BNK1CRA-039</t>
  </si>
  <si>
    <t xml:space="preserve">986</t>
  </si>
  <si>
    <t xml:space="preserve">988-1024</t>
  </si>
  <si>
    <t xml:space="preserve">It is entirely spaces</t>
  </si>
  <si>
    <t xml:space="preserve">    IF WS-NUM-COUNT-TOTAL = AMTL
       MOVE 'The Amount entered must be numeric.' TO
          MESSAGEO
       MOVE 'N' TO VALID-DATA-SW
       MOVE -1 TO AMTL
       GO TO VA999
    END-IF.
    COMPUTE WS-AMOUNT-UNSTR-L = AMTL - WS-NUM-COUNT-TOTAL.
    IF WS-NUM-COUNT-TOTAL = ZERO
       MOVE SPACES TO WS-AMOUNT-UNSTR
       UNSTRING AMTI(1:AMTL)
          INTO WS-AMOUNT-UNSTR
    ELSE
       MOVE SPACES TO WS-AMOUNT-UNSTR
       ADD 1 TO WS-NUM-COUNT-TOTAL GIVING WS-NUM-COUNT-TOTAL
       UNSTRING AMTI(WS-NUM-COUNT-TOTAL:AMTL)
          INTO WS-AMOUNT-UNSTR
    END-IF.
    MOVE ZERO TO WS-NUM-COUNT-TOTAL.
    MOVE FUNCTION REVERSE(WS-AMOUNT-UNSTR(1:WS-AMOUNT-UNSTR-L))
       TO WS-AMOUNT-UNSTR-REVERSE
    INSPECT WS-AMOUNT-UNSTR-REVERSE
       TALLYING WS-NUM-COUNT-TOTAL
       FOR LEADING SPACES.
    SUBTRACT WS-NUM-COUNT-TOTAL FROM WS-AMOUNT-UNSTR-L
       GIVING WS-AMOUNT-UNSTR-L.
    MOVE ZERO TO WS-NUM-COUNT-TOTAL WS-NUM-COUNT-SPACE.
    INSPECT WS-AMOUNT-UNSTR(1:WS-AMOUNT-UNSTR-L)
       TALLYING
       WS-NUM-COUNT-TOTAL FOR ALL '0'</t>
  </si>
  <si>
    <t xml:space="preserve">BNK1CRA-040</t>
  </si>
  <si>
    <t xml:space="preserve">1038-1042</t>
  </si>
  <si>
    <t xml:space="preserve">1044-1064</t>
  </si>
  <si>
    <t xml:space="preserve">If there is a decimal point, the field is not numeric. But if it is 1.1 then it is valid. So first of all we check to see that only the above chars are valid. We DO NOT tolerate embedded spaces too</t>
  </si>
  <si>
    <t xml:space="preserve">    IF WS-NUM-COUNT-SPACE &gt; 0
       MOVE SPACES TO MESSAGEO
       STRING
          'Please supply a numeric amount without embedded'
           DELIMITED BY SIZE,
           ' spaces.' DELIMITED BY SPACES
       INTO MESSAGEO
       MOVE 'N' TO VALID-DATA-SW
       MOVE -1 TO AMTL
       GO TO VA999
    END-IF.
    IF WS-NUM-COUNT-TOTAL &lt; WS-AMOUNT-UNSTR-L
       MOVE SPACES TO MESSAGEO
       STRING 'Please supply a numeric amount.'
          DELIMITED BY SIZE,
          INTO MESSAGEO
       MOVE 'N' TO VALID-DATA-SW
       MOVE -1 TO AMTL
       GO TO VA999
    END-IF.</t>
  </si>
  <si>
    <t xml:space="preserve">BNK1CRA-041</t>
  </si>
  <si>
    <t xml:space="preserve">1067</t>
  </si>
  <si>
    <t xml:space="preserve">1069-1083</t>
  </si>
  <si>
    <t xml:space="preserve">Check that we have no or just one decimal point</t>
  </si>
  <si>
    <t xml:space="preserve">    MOVE ZERO TO WS-NUM-COUNT-POINT
    INSPECT WS-AMOUNT-UNSTR(1:WS-AMOUNT-UNSTR-L)
      TALLYING
      WS-NUM-COUNT-POINT FOR ALL '.'.
    IF WS-NUM-COUNT-POINT &gt; 1
       MOVE SPACES TO MESSAGEO
       STRING 'Use one decimal point for amount only.'
          DELIMITED BY SIZE,
       INTO MESSAGEO
       MOVE 'N' TO VALID-DATA-SW
       MOVE -1 TO AMTL
       GO TO VA999
    END-IF.</t>
  </si>
  <si>
    <t xml:space="preserve">BNK1CRA-042</t>
  </si>
  <si>
    <t xml:space="preserve">1086</t>
  </si>
  <si>
    <t xml:space="preserve">1088-1114</t>
  </si>
  <si>
    <t xml:space="preserve">Have we got too many decimals?</t>
  </si>
  <si>
    <t xml:space="preserve">    IF WS-NUM-COUNT-POINT = 1
       MOVE ZERO TO WS-NUM-COUNT-TOTAL
       INSPECT WS-AMOUNT-UNSTR(1:WS-AMOUNT-UNSTR-L)
          TALLYING WS-NUM-COUNT-TOTAL FOR CHARACTERS AFTER '.'
       IF WS-NUM-COUNT-TOTAL &gt; 2
          MOVE ZERO TO WS-NUM-COUNT-TOTAL WS-NUM-COUNT-POINT
          INSPECT WS-AMOUNT-UNSTR(1:WS-AMOUNT-UNSTR-L)
          TALLYING
             WS-NUM-COUNT-POINT FOR CHARACTERS BEFORE '.'
          ADD 2 TO WS-NUM-COUNT-POINT GIVING WS-NUM-COUNT-POINT
          INSPECT
          WS-AMOUNT-UNSTR(WS-NUM-COUNT-POINT:WS-AMOUNT-UNSTR-L)
             TALLYING WS-NUM-COUNT-TOTAL FOR ALL '0'
             WS-NUM-COUNT-TOTAL FOR ALL '1'
             WS-NUM-COUNT-TOTAL FOR ALL '2'
             WS-NUM-COUNT-TOTAL FOR ALL '3'
             WS-NUM-COUNT-TOTAL FOR ALL '4'
             WS-NUM-COUNT-TOTAL FOR ALL '5'
             WS-NUM-COUNT-TOTAL FOR ALL '6'
             WS-NUM-COUNT-TOTAL FOR ALL '7'
             WS-NUM-COUNT-TOTAL FOR ALL '8'
             WS-NUM-COUNT-TOTAL FOR ALL '9'
             AFTER '.'
          IF WS-NUM-COUNT-TOTAL &gt; 2</t>
  </si>
  <si>
    <t xml:space="preserve">BNK1CRA-043</t>
  </si>
  <si>
    <t xml:space="preserve">1116</t>
  </si>
  <si>
    <t xml:space="preserve">1118-1154</t>
  </si>
  <si>
    <t xml:space="preserve">There are two numerics</t>
  </si>
  <si>
    <t xml:space="preserve">             MOVE SPACES TO MESSAGEO
             STRING
                'Only up to two decimal places are supported.'
                DELIMITED BY SIZE,
             INTO MESSAGEO
             MOVE 'N' TO VALID-DATA-SW
             MOVE -1 TO AMTL
             GO TO VA999
          END-IF
       END-IF
    END-IF.
    COMPUTE WS-AMOUNT-AS-FLOAT =
       FUNCTION NUMVAL(WS-AMOUNT-UNSTR(1:WS-AMOUNT-UNSTR-L)).
    IF WS-AMOUNT-AS-FLOAT = ZERO
       MOVE SPACES TO MESSAGEO
       STRING
          'Please supply a non-zero amount.'
          DELIMITED BY SIZE,
       INTO MESSAGEO
       MOVE 'N' TO VALID-DATA-SW
       MOVE -1 TO AMTL
       GO TO VA999
    END-IF.
    MOVE SPACES TO MESSAGEO.
    MOVE 'Y' TO VALID-DATA-SW.
VA999.
    EXIT.
POPULATE-TIME-DATE SECTION.
PTD010.
    EXEC CICS ASKTIME</t>
  </si>
  <si>
    <t xml:space="preserve">BNK1TFN-001</t>
  </si>
  <si>
    <t xml:space="preserve">180-181</t>
  </si>
  <si>
    <t xml:space="preserve">183-186</t>
  </si>
  <si>
    <t xml:space="preserve">       WHEN EIBCALEN = ZERO
          MOVE LOW-VALUE TO BNK1TFO
          SET SEND-ERASE TO TRUE
          PERFORM SEND-MAP</t>
  </si>
  <si>
    <t xml:space="preserve">BNK1TFN-002</t>
  </si>
  <si>
    <t xml:space="preserve">189</t>
  </si>
  <si>
    <t xml:space="preserve">191-192</t>
  </si>
  <si>
    <t xml:space="preserve">BNK1TFN-003</t>
  </si>
  <si>
    <t xml:space="preserve">195</t>
  </si>
  <si>
    <t xml:space="preserve">197-203</t>
  </si>
  <si>
    <t xml:space="preserve">BNK1TFN-004</t>
  </si>
  <si>
    <t xml:space="preserve">206-207</t>
  </si>
  <si>
    <t xml:space="preserve">209-213</t>
  </si>
  <si>
    <t xml:space="preserve">BNK1TFN-005</t>
  </si>
  <si>
    <t xml:space="preserve">216</t>
  </si>
  <si>
    <t xml:space="preserve">218-224</t>
  </si>
  <si>
    <t xml:space="preserve">BNK1TFN-006</t>
  </si>
  <si>
    <t xml:space="preserve">227</t>
  </si>
  <si>
    <t xml:space="preserve">229-230</t>
  </si>
  <si>
    <t xml:space="preserve">BNK1TFN-007</t>
  </si>
  <si>
    <t xml:space="preserve">233</t>
  </si>
  <si>
    <t xml:space="preserve">235-237</t>
  </si>
  <si>
    <t xml:space="preserve">       WHEN OTHER
          MOVE LOW-VALUES TO BNK1TFO
          MOVE 'Invalid key pressed.' TO MESSAGEO</t>
  </si>
  <si>
    <t xml:space="preserve">BNK1TFN-009</t>
  </si>
  <si>
    <t xml:space="preserve">245</t>
  </si>
  <si>
    <t xml:space="preserve">247-255</t>
  </si>
  <si>
    <t xml:space="preserve">Now RETURN</t>
  </si>
  <si>
    <t xml:space="preserve">     EXEC CICS
        RETURN TRANSID('OTFN')
        COMMAREA(WS-COMMAREA)
        LENGTH(29)
        RESP(WS-CICS-RESP)
        RESP2(WS-CICS-RESP2)
     END-EXEC.
    IF WS-CICS-RESP NOT = DFHRESP(NORMAL)</t>
  </si>
  <si>
    <t xml:space="preserve">BNK1TFN-010</t>
  </si>
  <si>
    <t xml:space="preserve">257-260</t>
  </si>
  <si>
    <t xml:space="preserve">262-264</t>
  </si>
  <si>
    <t xml:space="preserve">BNK1TFN-014</t>
  </si>
  <si>
    <t xml:space="preserve">333-334</t>
  </si>
  <si>
    <t xml:space="preserve">336-340</t>
  </si>
  <si>
    <t xml:space="preserve">If the data passes validation go on to get an account</t>
  </si>
  <si>
    <t xml:space="preserve">    IF VALID-DATA
       PERFORM GET-ACC-DATA
    END-IF.
    SET SEND-DATAONLY-ALARM TO TRUE.</t>
  </si>
  <si>
    <t xml:space="preserve">BNK1TFN-016</t>
  </si>
  <si>
    <t xml:space="preserve">354</t>
  </si>
  <si>
    <t xml:space="preserve">356-364</t>
  </si>
  <si>
    <t xml:space="preserve">    EXEC CICS
       RECEIVE MAP('BNK1TF')
       MAPSET('BNK1TFM')
       INTO(BNK1TFI)
       RESP(WS-CICS-RESP)
       RESP2(WS-CICS-RESP2)
    END-EXEC.
    IF WS-CICS-RESP NOT = DFHRESP(NORMAL)</t>
  </si>
  <si>
    <t xml:space="preserve">BNK1TFN-017</t>
  </si>
  <si>
    <t xml:space="preserve">366-369</t>
  </si>
  <si>
    <t xml:space="preserve">371-373</t>
  </si>
  <si>
    <t xml:space="preserve">BNK1TFN-019</t>
  </si>
  <si>
    <t xml:space="preserve">431</t>
  </si>
  <si>
    <t xml:space="preserve">433-467</t>
  </si>
  <si>
    <t xml:space="preserve">    EXEC CICS BIF DEEDIT
       FIELD(FACCNOI)
    END-EXEC.
    IF FACCNOI NOT NUMERIC
       MOVE 'Please enter a FROM account no  ' TO
          MESSAGEO
       MOVE 'N' TO VALID-DATA-SW
       GO TO ED999
    END-IF.
    EXEC CICS BIF DEEDIT
       FIELD(TACCNOI)
    END-EXEC.
    IF TACCNOI NOT NUMERIC
       MOVE 'Please enter a TO account no    ' TO
          MESSAGEO
       MOVE 'N' TO VALID-DATA-SW
       GO TO ED999
    END-IF.
    IF FACCNOI = TACCNOI
       MOVE 'The FROM &amp; TO account should be different ' TO
          MESSAGEO
       MOVE 'N' TO VALID-DATA-SW
       GO TO ED999
    END-IF.
    IF FACCNOI = '00000000' OR TACCNOI = '00000000'
       MOVE 'Account no 00000000 is not valid          ' TO
          MESSAGEO
       MOVE 'N' TO VALID-DATA-SW
       GO TO ED999
    END-IF.</t>
  </si>
  <si>
    <t xml:space="preserve">BNK1TFN-022</t>
  </si>
  <si>
    <t xml:space="preserve">494-504</t>
  </si>
  <si>
    <t xml:space="preserve">    MOVE WS-AMOUNT-AS-FLOAT TO SUBPGM-AMT.
    EXEC CICS LINK
       PROGRAM('XFRFUN')
       COMMAREA(SUBPGM-PARMS)
       RESP(WS-CICS-RESP)
       RESP2(WS-CICS-RESP2)
       SYNCONRETURN
    END-EXEC.
    IF WS-CICS-RESP NOT = DFHRESP(NORMAL)</t>
  </si>
  <si>
    <t xml:space="preserve">BNK1TFN-023</t>
  </si>
  <si>
    <t xml:space="preserve">506-509</t>
  </si>
  <si>
    <t xml:space="preserve">511-513</t>
  </si>
  <si>
    <t xml:space="preserve">BNK1TFN-026</t>
  </si>
  <si>
    <t xml:space="preserve">580-581</t>
  </si>
  <si>
    <t xml:space="preserve">582-617</t>
  </si>
  <si>
    <t xml:space="preserve">If an error was flagged by XFRFUN then set up an appropriate error message.</t>
  </si>
  <si>
    <t xml:space="preserve">    IF SUBPGM-SUCCESS = 'N'
       MOVE 'N' TO VALID-DATA-SW
       EVALUATE SUBPGM-FAIL-CODE
          WHEN '1'
             MOVE SPACES TO MESSAGEO
             STRING 'Sorry the FROM ACCOUNT no was not found'
                    '. Transfer not applied. '
                    DELIMITED BY SIZE
                    INTO MESSAGEO
             GO TO GCD999
          WHEN '2'
             MOVE SPACES TO MESSAGEO
             STRING 'Sorry the TO ACCOUNT no was not found'
                    '. Transfer not applied. '
                    DELIMITED BY SIZE
                    INTO MESSAGEO
             GO TO GCD999
          WHEN '3'
             MOVE SPACES TO MESSAGEO
             STRING 'Sorry but the transfer could not be applied'
                    ' due to an unexpected error.'
                    DELIMITED BY SIZE
                    INTO MESSAGEO
          WHEN '4'
             MOVE SPACES TO MESSAGEO
             STRING 'Please supply an amount greater than zero.'
                    DELIMITED BY SIZE
                    INTO MESSAGEO
             GO TO GCD999
          WHEN OTHER</t>
  </si>
  <si>
    <t xml:space="preserve">BNK1TFN-028</t>
  </si>
  <si>
    <t xml:space="preserve">665-669</t>
  </si>
  <si>
    <t xml:space="preserve">671-680</t>
  </si>
  <si>
    <t xml:space="preserve">Send/show the MAP If the map needs to have its data erased</t>
  </si>
  <si>
    <t xml:space="preserve">    IF SEND-ERASE
       EXEC CICS SEND MAP('BNK1TF')
          MAPSET('BNK1TFM')
          FROM(BNK1TFO)
          ERASE
          RESP(WS-CICS-RESP)
          RESP2(WS-CICS-RESP2)
       END-EXEC
       IF WS-CICS-RESP NOT = DFHRESP(NORMAL)</t>
  </si>
  <si>
    <t xml:space="preserve">BNK1TFN-029</t>
  </si>
  <si>
    <t xml:space="preserve">682-685</t>
  </si>
  <si>
    <t xml:space="preserve">687-689</t>
  </si>
  <si>
    <t xml:space="preserve">BNK1TFN-031</t>
  </si>
  <si>
    <t xml:space="preserve">743</t>
  </si>
  <si>
    <t xml:space="preserve">745-754</t>
  </si>
  <si>
    <t xml:space="preserve">    IF SEND-DATAONLY
       EXEC CICS SEND MAP('BNK1TF')
          MAPSET('BNK1TFM')
          FROM(BNK1TFO)
          DATAONLY
          RESP(WS-CICS-RESP)
          RESP2(WS-CICS-RESP2)
       END-EXEC
       IF WS-CICS-RESP NOT = DFHRESP(NORMAL)</t>
  </si>
  <si>
    <t xml:space="preserve">BNK1TFN-032</t>
  </si>
  <si>
    <t xml:space="preserve">756-759</t>
  </si>
  <si>
    <t xml:space="preserve">761-763</t>
  </si>
  <si>
    <t xml:space="preserve">BNK1TFN-034</t>
  </si>
  <si>
    <t xml:space="preserve">817</t>
  </si>
  <si>
    <t xml:space="preserve">819-829</t>
  </si>
  <si>
    <t xml:space="preserve">    IF SEND-DATAONLY-ALARM
       EXEC CICS SEND MAP('BNK1TF')
          MAPSET('BNK1TFM')
          FROM(BNK1TFO)
          DATAONLY
          ALARM
          RESP(WS-CICS-RESP)
          RESP2(WS-CICS-RESP2)
       END-EXEC
       IF WS-CICS-RESP NOT = DFHRESP(NORMAL)</t>
  </si>
  <si>
    <t xml:space="preserve">BNK1TFN-035</t>
  </si>
  <si>
    <t xml:space="preserve">831-834</t>
  </si>
  <si>
    <t xml:space="preserve">836-838</t>
  </si>
  <si>
    <t xml:space="preserve">BNK1TFN-037</t>
  </si>
  <si>
    <t xml:space="preserve">897</t>
  </si>
  <si>
    <t xml:space="preserve">899-907</t>
  </si>
  <si>
    <t xml:space="preserve">BNK1TFN-038</t>
  </si>
  <si>
    <t xml:space="preserve">909-912</t>
  </si>
  <si>
    <t xml:space="preserve">914-916</t>
  </si>
  <si>
    <t xml:space="preserve">BNK1TFN-040</t>
  </si>
  <si>
    <t xml:space="preserve">973</t>
  </si>
  <si>
    <t xml:space="preserve">975-986</t>
  </si>
  <si>
    <t xml:space="preserve">Issue an abend</t>
  </si>
  <si>
    <t xml:space="preserve">    DISPLAY WS-FAIL-INFO.
    EXEC CICS ABEND
       ABCODE('HBNK')
       NODUMP
    END-EXEC.
ATT999.
    EXIT.
VALIDATE-AMOUNT SECTION.
VA010.</t>
  </si>
  <si>
    <t xml:space="preserve">BNK1TFN-041</t>
  </si>
  <si>
    <t xml:space="preserve">988-989</t>
  </si>
  <si>
    <t xml:space="preserve">991-999</t>
  </si>
  <si>
    <t xml:space="preserve">Validate the amount entered. Is it greater than 0?</t>
  </si>
  <si>
    <t xml:space="preserve">    IF AMTL = ZERO
       MOVE 'The Amount entered must be numeric.' TO
          MESSAGEO
       MOVE 'N' TO VALID-DATA-SW
       MOVE -1 TO AMTL
       GO TO VA999
    END-IF
    IF AMTI(1:AMTL) IS NUMERIC</t>
  </si>
  <si>
    <t xml:space="preserve">BNK1TFN-042</t>
  </si>
  <si>
    <t xml:space="preserve">1001</t>
  </si>
  <si>
    <t xml:space="preserve">1003-1021</t>
  </si>
  <si>
    <t xml:space="preserve">Is it a positive amount?</t>
  </si>
  <si>
    <t xml:space="preserve">       COMPUTE WS-AMOUNT-AS-FLOAT =
          FUNCTION NUMVAL(AMTI(1:AMTL))
       IF WS-AMOUNT-AS-FLOAT &lt;= 0
          MOVE SPACES TO MESSAGEO
          STRING 'Please supply a positive amount.'
             DELIMITED BY SIZE,
          INTO MESSAGEO
          MOVE 'N' TO VALID-DATA-SW
          MOVE -1 TO AMTL
          GO TO VA999
       END-IF
       MOVE 'Y' TO VALID-DATA-SW
       GO TO VA999
    END-IF.
    MOVE ZERO TO WS-NUM-COUNT-TOTAL.
    INSPECT AMTI(1:AMTL) TALLYING WS-NUM-COUNT-TOTAL
       FOR LEADING SPACES.</t>
  </si>
  <si>
    <t xml:space="preserve">BNK1TFN-043</t>
  </si>
  <si>
    <t xml:space="preserve">1024</t>
  </si>
  <si>
    <t xml:space="preserve">1026-1063</t>
  </si>
  <si>
    <t xml:space="preserve">Check if it is numeric</t>
  </si>
  <si>
    <t xml:space="preserve">    IF WS-NUM-COUNT-TOTAL = AMTL
       MOVE 'The Amount entered must be numeric.' TO
          MESSAGEO
       MOVE 'N' TO VALID-DATA-SW
       MOVE -1 TO AMTL
       GO TO VA999
    END-IF.
    COMPUTE WS-AMOUNT-UNSTR-L = AMTL - WS-NUM-COUNT-TOTAL.
[D]     DISPLAY 'There are ' ws-num-count-total ' leading spaces'
    IF WS-NUM-COUNT-TOTAL = ZERO
       MOVE SPACES TO WS-AMOUNT-UNSTR
       UNSTRING AMTI(1:AMTL)
          INTO WS-AMOUNT-UNSTR
    ELSE
       MOVE SPACES TO WS-AMOUNT-UNSTR
       ADD 1 TO WS-NUM-COUNT-TOTAL GIVING WS-NUM-COUNT-TOTAL
       UNSTRING AMTI(WS-NUM-COUNT-TOTAL:AMTL)
          INTO WS-AMOUNT-UNSTR
    END-IF.
    MOVE ZERO TO WS-NUM-COUNT-TOTAL.
    MOVE FUNCTION REVERSE(WS-AMOUNT-UNSTR(1:WS-AMOUNT-UNSTR-L))
       TO WS-AMOUNT-UNSTR-REVERSE.
    INSPECT WS-AMOUNT-UNSTR-REVERSE
       TALLYING WS-NUM-COUNT-TOTAL
       FOR LEADING SPACES.
    SUBTRACT WS-NUM-COUNT-TOTAL FROM WS-AMOUNT-UNSTR-L
       GIVING WS-AMOUNT-UNSTR-L.
    MOVE ZERO TO WS-NUM-COUNT-TOTAL WS-NUM-COUNT-SPACE
                 WS-NUM-COUNT-MINUS.
    INSPECT WS-AMOUNT-UNSTR(1:WS-AMOUNT-UNSTR-L)</t>
  </si>
  <si>
    <t xml:space="preserve">BNK1TFN-044</t>
  </si>
  <si>
    <t xml:space="preserve">1080-1081</t>
  </si>
  <si>
    <t xml:space="preserve">1083-1091</t>
  </si>
  <si>
    <t xml:space="preserve">We no longer support transferring negative amounts. Any - sign is a deal breaker!</t>
  </si>
  <si>
    <t xml:space="preserve">    IF WS-NUM-COUNT-MINUS &gt; 0
       MOVE SPACES TO MESSAGEO
       STRING 'Please supply a positive amount.'
          DELIMITED BY SIZE,
          INTO MESSAGEO
       MOVE 'N' TO VALID-DATA-SW
       MOVE -1 TO AMTL
       GO TO VA999
    END-IF.</t>
  </si>
  <si>
    <t xml:space="preserve">BNK1TFN-045</t>
  </si>
  <si>
    <t xml:space="preserve">1094-1098</t>
  </si>
  <si>
    <t xml:space="preserve">1100-1120</t>
  </si>
  <si>
    <t xml:space="preserve">The idea here is that if there is a decimal point, the field is not numeric. But if it is 1.1 then it is valid. So first of all we check to see that only the above chars are OK. We DO NOT tolerate embedded spaces too.</t>
  </si>
  <si>
    <t xml:space="preserve">    IF WS-NUM-COUNT-SPACE &gt; 0
       MOVE SPACES TO MESSAGEO
       STRING
          'Please supply a numeric amount without embedded'
          DELIMITED BY SIZE,
          '  spaces.' DELIMITED BY SIZE
        INTO MESSAGEO
        MOVE 'N' TO VALID-DATA-SW
        MOVE -1 TO AMTL
        GO TO VA999
    END-IF.
    IF WS-NUM-COUNT-TOTAL &lt; WS-AMOUNT-UNSTR-L
       MOVE SPACES TO MESSAGEO
       STRING 'Please supply a numeric amount.'
          DELIMITED BY SIZE,
          INTO MESSAGEO
       MOVE 'N' TO VALID-DATA-SW
       MOVE -1 TO AMTL
       GO TO VA999
    END-IF.</t>
  </si>
  <si>
    <t xml:space="preserve">BNK1TFN-046</t>
  </si>
  <si>
    <t xml:space="preserve">1123</t>
  </si>
  <si>
    <t xml:space="preserve">1125-1138</t>
  </si>
  <si>
    <t xml:space="preserve">Check to make sure we only have 0 to 1 decimal points</t>
  </si>
  <si>
    <t xml:space="preserve">    MOVE ZERO TO WS-NUM-COUNT-POINT.
    INSPECT WS-AMOUNT-UNSTR(1:WS-AMOUNT-UNSTR-L)
       TALLYING
       WS-NUM-COUNT-POINT FOR ALL '.'.
    IF WS-NUM-COUNT-POINT &gt; 1
       MOVE SPACES TO MESSAGEO
       STRING 'Use one decimal point for amount only.'
          DELIMITED BY SIZE,
          INTO MESSAGEO
       MOVE 'N' TO VALID-DATA-SW
       MOVE -1 TO AMTL
       GO TO VA999
    END-IF.</t>
  </si>
  <si>
    <t xml:space="preserve">BNK1TFN-047</t>
  </si>
  <si>
    <t xml:space="preserve">1140</t>
  </si>
  <si>
    <t xml:space="preserve">1142-1171</t>
  </si>
  <si>
    <t xml:space="preserve">Check to see if we have too many decimals!</t>
  </si>
  <si>
    <t xml:space="preserve">    IF WS-NUM-COUNT-POINT = 1
       MOVE ZERO TO WS-NUM-COUNT-TOTAL
       INSPECT WS-AMOUNT-UNSTR(1:WS-AMOUNT-UNSTR-L)
          TALLYING
          WS-NUM-COUNT-TOTAL FOR CHARACTERS AFTER '.'
       IF WS-NUM-COUNT-TOTAL &gt; 2
[D]           DISPLAY 'WS-NUM-COUNT-TOTAL IS ' WS-NUM-COUNT-TOTAL
          MOVE ZERO TO WS-NUM-COUNT-TOTAL WS-NUM-COUNT-POINT
          INSPECT WS-AMOUNT-UNSTR(1:WS-AMOUNT-UNSTR-L)
             TALLYING WS-NUM-COUNT-POINT
             FOR CHARACTERS BEFORE '.'
          ADD 2 TO WS-NUM-COUNT-POINT GIVING WS-NUM-COUNT-POINT
          INSPECT WS-AMOUNT-UNSTR
             (WS-NUM-COUNT-POINT:WS-AMOUNT-UNSTR-L)
             TALLYING
             WS-NUM-COUNT-TOTAL FOR ALL '0'
             WS-NUM-COUNT-TOTAL FOR ALL '1'
             WS-NUM-COUNT-TOTAL FOR ALL '2'
             WS-NUM-COUNT-TOTAL FOR ALL '3'
             WS-NUM-COUNT-TOTAL FOR ALL '4'
             WS-NUM-COUNT-TOTAL FOR ALL '5'
             WS-NUM-COUNT-TOTAL FOR ALL '6'
             WS-NUM-COUNT-TOTAL FOR ALL '7'
             WS-NUM-COUNT-TOTAL FOR ALL '8'
             WS-NUM-COUNT-TOTAL FOR ALL '9'
             AFTER '.'
          IF WS-NUM-COUNT-TOTAL &gt; 2</t>
  </si>
  <si>
    <t xml:space="preserve">BNK1TFN-048</t>
  </si>
  <si>
    <t xml:space="preserve">1173</t>
  </si>
  <si>
    <t xml:space="preserve">1175-1208</t>
  </si>
  <si>
    <t xml:space="preserve">More than two of them are numeric</t>
  </si>
  <si>
    <t xml:space="preserve">             MOVE SPACES TO MESSAGEO
             STRING
                'Only up to two decimal places are supported.'
                DELIMITED BY SIZE,
             INTO MESSAGEO
             MOVE 'N' TO VALID-DATA-SW
             MOVE -1 TO AMTL
             GO TO VA999
          END-IF
       END-IF
    END-IF.
    COMPUTE WS-AMOUNT-AS-FLOAT =
       FUNCTION NUMVAL(WS-AMOUNT-UNSTR(1:WS-AMOUNT-UNSTR-L)).
    IF WS-AMOUNT-AS-FLOAT = ZERO
       MOVE SPACES TO MESSAGEO
       STRING 'Please supply a non-zero amount.'
          DELIMITED BY SIZE,
          INTO MESSAGEO
          MOVE 'N' TO VALID-DATA-SW
          MOVE -1 TO AMTL
          GO TO VA999
    END-IF.
    MOVE SPACES TO MESSAGEO.
    MOVE 'Y' TO VALID-DATA-SW.
VA999.
    EXIT.
POPULATE-TIME-DATE SECTION.
PTD010.</t>
  </si>
  <si>
    <t xml:space="preserve">Motivo do descarte</t>
  </si>
  <si>
    <t xml:space="preserve">Reavaliação</t>
  </si>
  <si>
    <t xml:space="preserve">DBCRFUN-002</t>
  </si>
  <si>
    <t xml:space="preserve">215-221</t>
  </si>
  <si>
    <t xml:space="preserve">223</t>
  </si>
  <si>
    <t xml:space="preserve">Determine what kind of ACCOUNT datastore we should be accessing Go and update the ACCOUNT record</t>
  </si>
  <si>
    <t xml:space="preserve">     PERFORM UPDATE-ACCOUNT-DB2.</t>
  </si>
  <si>
    <t xml:space="preserve">Procedural (sem decisão nem tratamento de falha)</t>
  </si>
  <si>
    <t xml:space="preserve">comentário menciona condição: reavaliar</t>
  </si>
  <si>
    <t xml:space="preserve">DBCRFUN-003</t>
  </si>
  <si>
    <t xml:space="preserve">225-226</t>
  </si>
  <si>
    <t xml:space="preserve">229-240</t>
  </si>
  <si>
    <t xml:space="preserve">The COMMAREA values have now been set so all we need to do is finish</t>
  </si>
  <si>
    <t xml:space="preserve">    PERFORM GET-ME-OUT-OF-HERE.
A999.
    EXIT.
UPDATE-ACCOUNT-DB2 SECTION.
UAD010.
    MOVE COMM-ACCNO TO DESIRED-ACC-NO.
    MOVE DESIRED-SORT-CODE TO HV-ACCOUNT-SORTCODE.
    MOVE DESIRED-ACC-NO TO HV-ACCOUNT-ACC-NO.</t>
  </si>
  <si>
    <t xml:space="preserve">DBCRFUN-004</t>
  </si>
  <si>
    <t xml:space="preserve">243</t>
  </si>
  <si>
    <t xml:space="preserve">245-273</t>
  </si>
  <si>
    <t xml:space="preserve">Retrieve the account information</t>
  </si>
  <si>
    <t xml:space="preserve">    EXEC SQL
       SELECT ACCOUNT_EYECATCHER,
              ACCOUNT_CUSTOMER_NUMBER,
              ACCOUNT_SORTCODE,
              ACCOUNT_NUMBER,
              ACCOUNT_TYPE,
              ACCOUNT_INTEREST_RATE,
              ACCOUNT_OPENED,
              ACCOUNT_OVERDRAFT_LIMIT,
              ACCOUNT_LAST_STATEMENT,
              ACCOUNT_NEXT_STATEMENT,
              ACCOUNT_AVAILABLE_BALANCE,
              ACCOUNT_ACTUAL_BALANCE
       INTO  :HV-ACCOUNT-EYECATCHER,
             :HV-ACCOUNT-CUST-NO,
             :HV-ACCOUNT-SORTCODE,
             :HV-ACCOUNT-ACC-NO,
             :HV-ACCOUNT-ACC-TYPE,
             :HV-ACCOUNT-INT-RATE,
             :HV-ACCOUNT-OPENED,
             :HV-ACCOUNT-OVERDRAFT-LIM,
             :HV-ACCOUNT-LAST-STMT,
             :HV-ACCOUNT-NEXT-STMT,
             :HV-ACCOUNT-AVAIL-BAL,
             :HV-ACCOUNT-ACTUAL-BAL
       FROM ACCOUNT
       WHERE  (ACCOUNT_SORTCODE = :HV-ACCOUNT-SORTCODE AND
               ACCOUNT_NUMBER = :HV-ACCOUNT-ACC-NO)
    END-EXEC.</t>
  </si>
  <si>
    <t xml:space="preserve">DBCRFUN-006</t>
  </si>
  <si>
    <t xml:space="preserve">290-291</t>
  </si>
  <si>
    <t xml:space="preserve">293-297</t>
  </si>
  <si>
    <t xml:space="preserve">       PERFORM CHECK-FOR-STORM-DRAIN-DB2
       GO TO UAD999
    END-IF.</t>
  </si>
  <si>
    <t xml:space="preserve">DBCRFUN-010</t>
  </si>
  <si>
    <t xml:space="preserve">380-382</t>
  </si>
  <si>
    <t xml:space="preserve">384-387</t>
  </si>
  <si>
    <t xml:space="preserve">If the SQLCODE from the SELECT is OK then update the record and update the details on the PROCTRAN (Processed transaction) datastore.</t>
  </si>
  <si>
    <t xml:space="preserve">    COMPUTE HV-ACCOUNT-AVAIL-BAL =
       HV-ACCOUNT-AVAIL-BAL + COMM-AMT.
    COMPUTE HV-ACCOUNT-ACTUAL-BAL =
       HV-ACCOUNT-ACTUAL-BAL + COMM-AMT.</t>
  </si>
  <si>
    <t xml:space="preserve">DBCRFUN-011</t>
  </si>
  <si>
    <t xml:space="preserve">390</t>
  </si>
  <si>
    <t xml:space="preserve">392-408</t>
  </si>
  <si>
    <t xml:space="preserve">Update the account record</t>
  </si>
  <si>
    <t xml:space="preserve">    EXEC SQL
       UPDATE ACCOUNT
       SET ACCOUNT_EYECATCHER = :HV-ACCOUNT-EYECATCHER,
           ACCOUNT_CUSTOMER_NUMBER = :HV-ACCOUNT-CUST-NO,
           ACCOUNT_SORTCODE = :HV-ACCOUNT-SORTCODE,
           ACCOUNT_NUMBER = :HV-ACCOUNT-ACC-NO,
           ACCOUNT_TYPE = :HV-ACCOUNT-ACC-TYPE,
           ACCOUNT_INTEREST_RATE = :HV-ACCOUNT-INT-RATE,
           ACCOUNT_OPENED = :HV-ACCOUNT-OPENED,
           ACCOUNT_OVERDRAFT_LIMIT = :HV-ACCOUNT-OVERDRAFT-LIM,
           ACCOUNT_LAST_STATEMENT = :HV-ACCOUNT-LAST-STMT,
           ACCOUNT_NEXT_STATEMENT = :HV-ACCOUNT-NEXT-STMT,
           ACCOUNT_AVAILABLE_BALANCE = :HV-ACCOUNT-AVAIL-BAL,
           ACCOUNT_ACTUAL_BALANCE = :HV-ACCOUNT-ACTUAL-BAL
       WHERE (ACCOUNT_SORTCODE = :HV-ACCOUNT-SORTCODE AND
              ACCOUNT_NUMBER = :HV-ACCOUNT-ACC-NO)
    END-EXEC.</t>
  </si>
  <si>
    <t xml:space="preserve">DBCRFUN-014</t>
  </si>
  <si>
    <t xml:space="preserve">429-430</t>
  </si>
  <si>
    <t xml:space="preserve">432-435</t>
  </si>
  <si>
    <t xml:space="preserve">DBCRFUN-015</t>
  </si>
  <si>
    <t xml:space="preserve">438-439</t>
  </si>
  <si>
    <t xml:space="preserve">441-448</t>
  </si>
  <si>
    <t xml:space="preserve">If the RESP CODE was normal then we need to write to the PROCTRAN (processed transaction) datastore.</t>
  </si>
  <si>
    <t xml:space="preserve">    PERFORM WRITE-TO-PROCTRAN.
UAD999.
    EXIT.
WRITE-TO-PROCTRAN SECTION.
WTP010.</t>
  </si>
  <si>
    <t xml:space="preserve">DBCRFUN-016</t>
  </si>
  <si>
    <t xml:space="preserve">451-452</t>
  </si>
  <si>
    <t xml:space="preserve">454-470</t>
  </si>
  <si>
    <t xml:space="preserve">Write to the PROCTRAN datastore deatils regarding the successfully applied transaction.</t>
  </si>
  <si>
    <t xml:space="preserve">     PERFORM WRITE-TO-PROCTRAN-DB2.
WTP999.
    EXIT.
WRITE-TO-PROCTRAN-DB2 SECTION.
WTPD010.
    INITIALIZE HOST-PROCTRAN-ROW.
    INITIALIZE WS-EIBTASKN12.
    MOVE 'PRTR' TO HV-PROCTRAN-EYECATCHER.
    MOVE COMM-SORTC TO HV-PROCTRAN-SORT-CODE.
    MOVE COMM-ACCNO TO HV-PROCTRAN-ACC-NUMBER.
    MOVE EIBTASKN TO WS-EIBTASKN12.
    MOVE WS-EIBTASKN12 TO HV-PROCTRAN-REF.</t>
  </si>
  <si>
    <t xml:space="preserve">DBCRFUN-020</t>
  </si>
  <si>
    <t xml:space="preserve">522</t>
  </si>
  <si>
    <t xml:space="preserve">524-549</t>
  </si>
  <si>
    <t xml:space="preserve">Write a record to PROCTRAN</t>
  </si>
  <si>
    <t xml:space="preserve">    EXEC SQL
       INSERT INTO PROCTRAN
              (
               PROCTRAN_EYECATCHER,
               PROCTRAN_SORTCODE,
               PROCTRAN_NUMBER,
               PROCTRAN_DATE,
               PROCTRAN_TIME,
               PROCTRAN_REF,
               PROCTRAN_TYPE,
               PROCTRAN_DESC,
               PROCTRAN_AMOUNT
              )
       VALUES
              (
               :HV-PROCTRAN-EYECATCHER,
               :HV-PROCTRAN-SORT-CODE,
               :HV-PROCTRAN-ACC-NUMBER,
               :HV-PROCTRAN-DATE,
               :HV-PROCTRAN-TIME,
               :HV-PROCTRAN-REF,
               :HV-PROCTRAN-TYPE,
               :HV-PROCTRAN-DESC,
               :HV-PROCTRAN-AMOUNT
              )
    END-EXEC.</t>
  </si>
  <si>
    <t xml:space="preserve">DBCRFUN-024</t>
  </si>
  <si>
    <t xml:space="preserve">580</t>
  </si>
  <si>
    <t xml:space="preserve">582-618</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</si>
  <si>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'WTPD010 - COULD NOT ROLL BACK, POSSIBLE DATA'
                DELIMITED BY SIZE,
                'INTEGRITY ISSUE BETWEEN ACCOUNT AND PROCTRAN '
                DELIMITED BY SIZE,
                'FOR ROW:' DELIMITED BY SIZE,
                HOST-PROCTRAN-ROW DELIMITED BY SIZE,
                'EIBRESP=' DELIMITED BY SIZE,
                ABND-RESPCODE DELIMITED BY SIZE,
                ' RESP2=' DELIMITED BY SIZE,
                ABND-RESP2CODE DELIMITED BY SIZE
                INTO ABND-FREEFORM
          END-STRING</t>
  </si>
  <si>
    <t xml:space="preserve">DBCRFUN-025</t>
  </si>
  <si>
    <t xml:space="preserve">639-640</t>
  </si>
  <si>
    <t xml:space="preserve">642-644</t>
  </si>
  <si>
    <t xml:space="preserve">       PERFORM CHECK-FOR-STORM-DRAIN-DB2
    ELSE</t>
  </si>
  <si>
    <t xml:space="preserve">DBCRFUN-026</t>
  </si>
  <si>
    <t xml:space="preserve">647</t>
  </si>
  <si>
    <t xml:space="preserve">649-669</t>
  </si>
  <si>
    <t xml:space="preserve">If the WRITE to PROCTRAN worked then it was a success</t>
  </si>
  <si>
    <t xml:space="preserve">       MOVE 'Y' TO COMM-SUCCESS
       MOVE '0' TO COMM-FAIL-CODE
    END-IF.
WTPD999.
    EXIT.
GET-ME-OUT-OF-HERE SECTION.
GMOOH010.
    EXEC CICS RETURN
    END-EXEC.
    GOBACK.
GMOOH999.
    EXIT.
CHECK-FOR-STORM-DRAIN-DB2 SECTION.
CFSDD010.</t>
  </si>
  <si>
    <t xml:space="preserve">DBCRFUN-028</t>
  </si>
  <si>
    <t xml:space="preserve">699</t>
  </si>
  <si>
    <t xml:space="preserve">701-705</t>
  </si>
  <si>
    <t xml:space="preserve">How ABENDs are dealt with</t>
  </si>
  <si>
    <t xml:space="preserve">ABEND-HANDLING SECTION.
AH010.
    EXEC CICS ASSIGN ABCODE(MY-ABEND-CODE)
    END-EXEC.</t>
  </si>
  <si>
    <t xml:space="preserve">DBCRFUN-033</t>
  </si>
  <si>
    <t xml:space="preserve">767</t>
  </si>
  <si>
    <t xml:space="preserve">769-805</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</si>
  <si>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'AH010 - Unable to perform Synpoint '
                DELIMITED BY SIZE,
                'Rollback.' DELIMITED BY SIZE,
                ' Possible Integrity issue following VSAM RLS '
                DELIMITED BY SIZE,
                'abend.' DELIMITED BY SIZE,
                'EIBRESP=' DELIMITED BY SIZE,
                ABND-RESPCODE DELIMITED BY SIZE,
                ' RESP2=' DELIMITED BY SIZE,
                ABND-RESP2CODE DELIMITED BY SIZE
                INTO ABND-FREEFORM
             END-STRING</t>
  </si>
  <si>
    <t xml:space="preserve">XFRFUN-002</t>
  </si>
  <si>
    <t xml:space="preserve">299-300</t>
  </si>
  <si>
    <t xml:space="preserve">302-311</t>
  </si>
  <si>
    <t xml:space="preserve">    PERFORM GET-ME-OUT-OF-HERE.
A999.
    EXIT.
UPDATE-ACCOUNT-DB2 SECTION.
UAD010.
    MOVE 'N' TO COMM-SUCCESS.</t>
  </si>
  <si>
    <t xml:space="preserve">XFRFUN-005</t>
  </si>
  <si>
    <t xml:space="preserve">328</t>
  </si>
  <si>
    <t xml:space="preserve">330-368</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</si>
  <si>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'SAME'      TO ABND-CODE
       EXEC CICS ASSIGN PROGRAM(ABND-PROGRAM)
       END-EXEC
       MOVE ZEROS      TO ABND-SQLCODE
       STRING 'UAD010 - Cannot transfer to the same account '
            DELIMITED BY SIZE,
            ' EIBRESP=' DELIMITED BY SIZE,
            ABND-RESPCODE DELIMITED BY SIZE,
            ' RESP2=' DELIMITED BY SIZE,
            ABND-RESP2CODE DELIMITED BY SIZE
            INTO ABND-FREEFORM
       END-STRING
       EXEC CICS LINK PROGRAM(WS-ABEND-PGM)
                COMMAREA(ABNDINFO-REC)
       END-EXEC
       DISPLAY 'Cannot transfer to the same account'</t>
  </si>
  <si>
    <t xml:space="preserve">XFRFUN-006</t>
  </si>
  <si>
    <t xml:space="preserve">380-381</t>
  </si>
  <si>
    <t xml:space="preserve">383-384</t>
  </si>
  <si>
    <t xml:space="preserve">If the FROM account number is less than the TO account number</t>
  </si>
  <si>
    <t xml:space="preserve">       MOVE COMM-FACCNO TO DESIRED-ACC-NO
       MOVE COMM-FSCODE TO DESIRED-SORT-CODE</t>
  </si>
  <si>
    <t xml:space="preserve">XFRFUN-007</t>
  </si>
  <si>
    <t xml:space="preserve">387</t>
  </si>
  <si>
    <t xml:space="preserve">389</t>
  </si>
  <si>
    <t xml:space="preserve">Update the FROM account</t>
  </si>
  <si>
    <t xml:space="preserve">       PERFORM UPDATE-ACCOUNT-DB2-FROM</t>
  </si>
  <si>
    <t xml:space="preserve">XFRFUN-011</t>
  </si>
  <si>
    <t xml:space="preserve">424</t>
  </si>
  <si>
    <t xml:space="preserve">426-463</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</si>
  <si>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'UAD010(2) - Error on SYNCPOINT'
                      DELIMITED BY SIZE,
                      ' ROLLBACK' DELIMITED BY SIZE,
                      ' after UPDATING TO account '
                      DELIMITED BY SIZE,
                      ' EIBRESP=' DELIMITED BY SIZE,
                      ABND-RESPCODE DELIMITED BY SIZE,
                      ' RESP2=' DELIMITED BY SIZE,
                      ABND-RESP2CODE DELIMITED BY SIZE
                      INTO ABND-FREEFORM
                   END-STRING
                   EXEC CICS LINK PROGRAM(WS-ABEND-PGM)</t>
  </si>
  <si>
    <t xml:space="preserve">XFRFUN-016</t>
  </si>
  <si>
    <t xml:space="preserve">537</t>
  </si>
  <si>
    <t xml:space="preserve">539-577</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</si>
  <si>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'FROM'      TO ABND-CODE
             EXEC CICS ASSIGN PROGRAM(ABND-PROGRAM)
             END-EXEC
             MOVE ZEROS      TO ABND-SQLCODE
             STRING 'UAD010(3) - Error updating FROM account '
                DELIMITED BY SIZE,
                ' EIBRESP=' DELIMITED BY SIZE,
                ABND-RESPCODE DELIMITED BY SIZE,
                ' RESP2=' DELIMITED BY SIZE,
                ABND-RESP2CODE DELIMITED BY SIZE
                INTO ABND-FREEFORM
             END-STRING
             EXEC CICS LINK PROGRAM(WS-ABEND-PGM)
                    COMMAREA(ABNDINFO-REC)
             END-EXEC
             DISPLAY 'Error updating FROM account'</t>
  </si>
  <si>
    <t xml:space="preserve">XFRFUN-017</t>
  </si>
  <si>
    <t xml:space="preserve">591-592</t>
  </si>
  <si>
    <t xml:space="preserve">594-595</t>
  </si>
  <si>
    <t xml:space="preserve">The FROM account number is greater than the TO account number</t>
  </si>
  <si>
    <t xml:space="preserve">       MOVE COMM-TACCNO TO DESIRED-ACC-NO
       MOVE COMM-TSCODE TO DESIRED-SORT-CODE</t>
  </si>
  <si>
    <t xml:space="preserve">XFRFUN-018</t>
  </si>
  <si>
    <t xml:space="preserve">598</t>
  </si>
  <si>
    <t xml:space="preserve">600</t>
  </si>
  <si>
    <t xml:space="preserve">Update the TO account number</t>
  </si>
  <si>
    <t xml:space="preserve">       PERFORM UPDATE-ACCOUNT-DB2-TO</t>
  </si>
  <si>
    <t xml:space="preserve">XFRFUN-022</t>
  </si>
  <si>
    <t xml:space="preserve">628</t>
  </si>
  <si>
    <t xml:space="preserve">630-668</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</si>
  <si>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'FROM'      TO ABND-CODE
                EXEC CICS ASSIGN PROGRAM(ABND-PROGRAM)
                END-EXEC
                MOVE ZEROS      TO ABND-SQLCODE
                STRING 'UAD010(4) - Error updating FROM account '
                   DELIMITED BY SIZE,
                   ' EIBRESP=' DELIMITED BY SIZE,
                   ABND-RESPCODE DELIMITED BY SIZE,
                   ' RESP2=' DELIMITED BY SIZE,
                   ABND-RESP2CODE DELIMITED BY SIZE
                   INTO ABND-FREEFORM
                END-STRING
                EXEC CICS LINK PROGRAM(WS-ABEND-PGM)
                      COMMAREA(ABNDINFO-REC)
                END-EXEC
                DISPLAY 'Error updating FROM account'</t>
  </si>
  <si>
    <t xml:space="preserve">XFRFUN-023</t>
  </si>
  <si>
    <t xml:space="preserve">677</t>
  </si>
  <si>
    <t xml:space="preserve">679-683</t>
  </si>
  <si>
    <t xml:space="preserve">If the FAIL code is something else</t>
  </si>
  <si>
    <t xml:space="preserve">                EXEC CICS SYNCPOINT
                   ROLLBACK
                   RESP(WS-CICS-RESP)
                   RESP2(WS-CICS-RESP2)
                END-EXEC</t>
  </si>
  <si>
    <t xml:space="preserve">XFRFUN-026</t>
  </si>
  <si>
    <t xml:space="preserve">698</t>
  </si>
  <si>
    <t xml:space="preserve">700-737</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</si>
  <si>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'UAD010(5) - Error on SYNCPOINT '
                      DELIMITED BY SIZE,
                      ' ROLLBACK ' DELIMITED BY SIZE,
                      ' after UPDATING the FROM account'
                      DELIMITED BY SIZE,
                      ' EIBRESP=' DELIMITED BY SIZE,
                      ABND-RESPCODE DELIMITED BY SIZE,
                      ' RESP2=' DELIMITED BY SIZE,
                      ABND-RESP2CODE DELIMITED BY SIZE
                      INTO ABND-FREEFORM
                   END-STRING
                   EXEC CICS LINK PROGRAM(WS-ABEND-PGM)</t>
  </si>
  <si>
    <t xml:space="preserve">XFRFUN-029</t>
  </si>
  <si>
    <t xml:space="preserve">777</t>
  </si>
  <si>
    <t xml:space="preserve">779-817</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</si>
  <si>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'TO  '      TO ABND-CODE
             EXEC CICS ASSIGN PROGRAM(ABND-PROGRAM)
             END-EXEC
             MOVE ZEROS      TO ABND-SQLCODE
             STRING 'UAD010(6) - Error updating TO account '
                DELIMITED BY SIZE,
                ' EIBRESP=' DELIMITED BY SIZE,
                ABND-RESPCODE DELIMITED BY SIZE,
                ' RESP2=' DELIMITED BY SIZE,
                ABND-RESP2CODE DELIMITED BY SIZE
                INTO ABND-FREEFORM
             END-STRING
             EXEC CICS LINK PROGRAM(WS-ABEND-PGM)
                    COMMAREA(ABNDINFO-REC)
             END-EXEC
             DISPLAY 'Error updating TO account'</t>
  </si>
  <si>
    <t xml:space="preserve">XFRFUN-031</t>
  </si>
  <si>
    <t xml:space="preserve">843</t>
  </si>
  <si>
    <t xml:space="preserve">845-882</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</si>
  <si>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'UAD010(7) - Error on SYNCPOINT ROLLBACK'
                   DELIMITED BY SIZE,
                   ' after UPDATING the TO account'
                   DELIMITED BY SIZE,
                   ' EIBRESP=' DELIMITED BY SIZE,
                   ABND-RESPCODE DELIMITED BY SIZE,
                   ' RESP2=' DELIMITED BY SIZE,
                   ABND-RESP2CODE DELIMITED BY SIZE
                   INTO ABND-FREEFORM
                END-STRING
                EXEC CICS LINK PROGRAM(WS-ABEND-PGM)
                      COMMAREA(ABNDINFO-REC)</t>
  </si>
  <si>
    <t xml:space="preserve">XFRFUN-032</t>
  </si>
  <si>
    <t xml:space="preserve">907-909</t>
  </si>
  <si>
    <t xml:space="preserve">911-920</t>
  </si>
  <si>
    <t xml:space="preserve">If the updates to the TO and FROM accounts were successful then we need to write to PROCTRAN (processed transaction) to record the successful transfer.</t>
  </si>
  <si>
    <t xml:space="preserve">    PERFORM WRITE-TO-PROCTRAN.
    MOVE 'Y' TO COMM-SUCCESS.
UAD999.
    EXIT.
UPDATE-ACCOUNT-DB2-FROM SECTION.
UADF010.</t>
  </si>
  <si>
    <t xml:space="preserve">XFRFUN-033</t>
  </si>
  <si>
    <t xml:space="preserve">922</t>
  </si>
  <si>
    <t xml:space="preserve">924-955</t>
  </si>
  <si>
    <t xml:space="preserve">Position ourself at the matching FROM account record</t>
  </si>
  <si>
    <t xml:space="preserve">    MOVE COMM-FACCNO TO DESIRED-ACC-NO.
    MOVE COMM-FSCODE TO DESIRED-SORT-CODE.
    MOVE DESIRED-SORT-CODE TO HV-ACCOUNT-SORTCODE.
    MOVE DESIRED-ACC-NO TO HV-ACCOUNT-ACC-NO.
    EXEC SQL
       SELECT ACCOUNT_EYECATCHER,
         ACCOUNT_CUSTOMER_NUMBER,
         ACCOUNT_SORTCODE,
         ACCOUNT_NUMBER,
         ACCOUNT_TYPE,
         ACCOUNT_INTEREST_RATE,
         ACCOUNT_OPENED,
         ACCOUNT_OVERDRAFT_LIMIT,
         ACCOUNT_LAST_STATEMENT,
         ACCOUNT_NEXT_STATEMENT,
         ACCOUNT_AVAILABLE_BALANCE,
         ACCOUNT_ACTUAL_BALANCE
       INTO  :HV-ACCOUNT-EYECATCHER,
         :HV-ACCOUNT-CUST-NO,
         :HV-ACCOUNT-SORTCODE,
         :HV-ACCOUNT-ACC-NO,
         :HV-ACCOUNT-ACC-TYPE,
         :HV-ACCOUNT-INT-RATE,
         :HV-ACCOUNT-OPENED,
         :HV-ACCOUNT-OVERDRAFT-LIM,
         :HV-ACCOUNT-LAST-STMT,
         :HV-ACCOUNT-NEXT-STMT,
         :HV-ACCOUNT-AVAIL-BAL,
         :HV-ACCOUNT-ACTUAL-BAL
       FROM ACCOUNT</t>
  </si>
  <si>
    <t xml:space="preserve">XFRFUN-035</t>
  </si>
  <si>
    <t xml:space="preserve">973-974</t>
  </si>
  <si>
    <t xml:space="preserve">976-980</t>
  </si>
  <si>
    <t xml:space="preserve">       PERFORM CHECK-FOR-STORM-DRAIN-DB2
       GO TO UADF999
    END-IF.</t>
  </si>
  <si>
    <t xml:space="preserve">XFRFUN-036</t>
  </si>
  <si>
    <t xml:space="preserve">983-984</t>
  </si>
  <si>
    <t xml:space="preserve">986-1008</t>
  </si>
  <si>
    <t xml:space="preserve">If the SQLCODE is OK then update the row on ACCOUNT for the FROM account.</t>
  </si>
  <si>
    <t xml:space="preserve">    COMPUTE HV-ACCOUNT-AVAIL-BAL =
    HV-ACCOUNT-AVAIL-BAL - COMM-AMT.
    COMPUTE HV-ACCOUNT-ACTUAL-BAL =
    HV-ACCOUNT-ACTUAL-BAL - COMM-AMT.
    EXEC SQL
       UPDATE ACCOUNT
       SET ACCOUNT_EYECATCHER        = :HV-ACCOUNT-EYECATCHER,
       ACCOUNT_CUSTOMER_NUMBER   = :HV-ACCOUNT-CUST-NO,
       ACCOUNT_SORTCODE          = :HV-ACCOUNT-SORTCODE,
       ACCOUNT_NUMBER            = :HV-ACCOUNT-ACC-NO,
       ACCOUNT_TYPE              = :HV-ACCOUNT-ACC-TYPE,
       ACCOUNT_INTEREST_RATE     = :HV-ACCOUNT-INT-RATE,
       ACCOUNT_OPENED            = :HV-ACCOUNT-OPENED,
       ACCOUNT_OVERDRAFT_LIMIT   = :HV-ACCOUNT-OVERDRAFT-LIM,
       ACCOUNT_LAST_STATEMENT    = :HV-ACCOUNT-LAST-STMT,
       ACCOUNT_NEXT_STATEMENT    = :HV-ACCOUNT-NEXT-STMT,
       ACCOUNT_AVAILABLE_BALANCE = :HV-ACCOUNT-AVAIL-BAL,
       ACCOUNT_ACTUAL_BALANCE    = :HV-ACCOUNT-ACTUAL-BAL
       WHERE (ACCOUNT_SORTCODE       = :HV-ACCOUNT-SORTCODE AND
       ACCOUNT_NUMBER         = :HV-ACCOUNT-ACC-NO)
    END-EXEC.</t>
  </si>
  <si>
    <t xml:space="preserve">XFRFUN-038</t>
  </si>
  <si>
    <t xml:space="preserve">1020-1021</t>
  </si>
  <si>
    <t xml:space="preserve">1023-1027</t>
  </si>
  <si>
    <t xml:space="preserve">XFRFUN-039</t>
  </si>
  <si>
    <t xml:space="preserve">1030-1031</t>
  </si>
  <si>
    <t xml:space="preserve">1033-1044</t>
  </si>
  <si>
    <t xml:space="preserve">If the update to the FROM account was OK store the updated balances away.</t>
  </si>
  <si>
    <t xml:space="preserve">    MOVE HV-ACCOUNT-AVAIL-BAL TO COMM-FAVBAL.
    MOVE HV-ACCOUNT-ACTUAL-BAL TO COMM-FACTBAL.
    MOVE 'Y' TO COMM-SUCCESS.
UADF999.
    EXIT.
UPDATE-ACCOUNT-DB2-TO SECTION.
UADT010.
    MOVE 'N' TO COMM-SUCCESS.</t>
  </si>
  <si>
    <t xml:space="preserve">XFRFUN-040</t>
  </si>
  <si>
    <t xml:space="preserve">1046-1047</t>
  </si>
  <si>
    <t xml:space="preserve">1049-1081</t>
  </si>
  <si>
    <t xml:space="preserve">Position ourself at the matching account record for the TO account</t>
  </si>
  <si>
    <t xml:space="preserve">    INITIALIZE HOST-ACCOUNT-ROW.
    MOVE COMM-TACCNO TO DESIRED-ACC-NO.
    MOVE COMM-TSCODE TO DESIRED-SORT-CODE.
    MOVE DESIRED-SORT-CODE TO HV-ACCOUNT-SORTCODE.
    MOVE DESIRED-ACC-NO TO HV-ACCOUNT-ACC-NO.
    EXEC SQL
         SELECT ACCOUNT_EYECATCHER,
         ACCOUNT_CUSTOMER_NUMBER,
         ACCOUNT_SORTCODE,
         ACCOUNT_NUMBER,
         ACCOUNT_TYPE,
         ACCOUNT_INTEREST_RATE,
         ACCOUNT_OPENED,
         ACCOUNT_OVERDRAFT_LIMIT,
         ACCOUNT_LAST_STATEMENT,
         ACCOUNT_NEXT_STATEMENT,
         ACCOUNT_AVAILABLE_BALANCE,
         ACCOUNT_ACTUAL_BALANCE
         INTO  :HV-ACCOUNT-EYECATCHER,
         :HV-ACCOUNT-CUST-NO,
         :HV-ACCOUNT-SORTCODE,
         :HV-ACCOUNT-ACC-NO,
         :HV-ACCOUNT-ACC-TYPE,
         :HV-ACCOUNT-INT-RATE,
         :HV-ACCOUNT-OPENED,
         :HV-ACCOUNT-OVERDRAFT-LIM,
         :HV-ACCOUNT-LAST-STMT,
         :HV-ACCOUNT-NEXT-STMT,
         :HV-ACCOUNT-AVAIL-BAL,
         :HV-ACCOUNT-ACTUAL-BAL</t>
  </si>
  <si>
    <t xml:space="preserve">XFRFUN-042</t>
  </si>
  <si>
    <t xml:space="preserve">1094-1095</t>
  </si>
  <si>
    <t xml:space="preserve">1097</t>
  </si>
  <si>
    <t xml:space="preserve">       PERFORM CHECK-FOR-STORM-DRAIN-DB2</t>
  </si>
  <si>
    <t xml:space="preserve">XFRFUN-045</t>
  </si>
  <si>
    <t xml:space="preserve">1127</t>
  </si>
  <si>
    <t xml:space="preserve">1129-1166</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</si>
  <si>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'UAD010-TO - Error on SYNCPOINT ROLLBACK '
                  DELIMITED BY SIZE,
                  'after failing to read TO account'
                  DELIMITED BY SIZE,
                  ' EIBRESP=' DELIMITED BY SIZE,
                  ABND-RESPCODE DELIMITED BY SIZE,
                  ' RESP2=' DELIMITED BY SIZE,
                  ABND-RESP2CODE DELIMITED BY SIZE
                  INTO ABND-FREEFORM
             END-STRING
             EXEC CICS LINK PROGRAM(WS-ABEND-PGM)
                      COMMAREA(ABNDINFO-REC)</t>
  </si>
  <si>
    <t xml:space="preserve">XFRFUN-048</t>
  </si>
  <si>
    <t xml:space="preserve">1223</t>
  </si>
  <si>
    <t xml:space="preserve">1225-1262</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</si>
  <si>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'UAD010-TO(2) - Error on SYNCPOINT'
                         DELIMITED BY SIZE,
                         ' ROLLBACK after updating TO account'
                         DELIMITED BY SIZE,
                         ' EIBRESP=' DELIMITED BY SIZE,
                         ABND-RESPCODE DELIMITED BY SIZE,
                         ' RESP2=' DELIMITED BY SIZE,
                         ABND-RESP2CODE DELIMITED BY SIZE
                         INTO ABND-FREEFORM
                      END-STRING
                      EXEC CICS LINK PROGRAM(WS-ABEND-PGM)</t>
  </si>
  <si>
    <t xml:space="preserve">XFRFUN-051</t>
  </si>
  <si>
    <t xml:space="preserve">1354-1355</t>
  </si>
  <si>
    <t xml:space="preserve">1357-1378</t>
  </si>
  <si>
    <t xml:space="preserve">If the SELECT was successful, then amend the account balances and UPDATE the row back onto the ACCOUNT table.</t>
  </si>
  <si>
    <t xml:space="preserve">    COMPUTE HV-ACCOUNT-AVAIL-BAL = HV-ACCOUNT-AVAIL-BAL +
            COMM-AMT.
    COMPUTE HV-ACCOUNT-ACTUAL-BAL = HV-ACCOUNT-ACTUAL-BAL +
            COMM-AMT.
    EXEC SQL
         UPDATE ACCOUNT
         SET ACCOUNT_EYECATCHER        = :HV-ACCOUNT-EYECATCHER,
         ACCOUNT_CUSTOMER_NUMBER   = :HV-ACCOUNT-CUST-NO,
         ACCOUNT_SORTCODE          = :HV-ACCOUNT-SORTCODE,
         ACCOUNT_NUMBER            = :HV-ACCOUNT-ACC-NO,
         ACCOUNT_TYPE              = :HV-ACCOUNT-ACC-TYPE,
         ACCOUNT_INTEREST_RATE     = :HV-ACCOUNT-INT-RATE,
         ACCOUNT_OPENED            = :HV-ACCOUNT-OPENED,
         ACCOUNT_OVERDRAFT_LIMIT   = :HV-ACCOUNT-OVERDRAFT-LIM,
         ACCOUNT_LAST_STATEMENT    = :HV-ACCOUNT-LAST-STMT,
         ACCOUNT_NEXT_STATEMENT    = :HV-ACCOUNT-NEXT-STMT,
         ACCOUNT_AVAILABLE_BALANCE = :HV-ACCOUNT-AVAIL-BAL,
         ACCOUNT_ACTUAL_BALANCE    = :HV-ACCOUNT-ACTUAL-BAL
         WHERE (ACCOUNT_SORTCODE   = :HV-ACCOUNT-SORTCODE AND
         ACCOUNT_NUMBER         = :HV-ACCOUNT-ACC-NO)
    END-EXEC.</t>
  </si>
  <si>
    <t xml:space="preserve">XFRFUN-055</t>
  </si>
  <si>
    <t xml:space="preserve">1421</t>
  </si>
  <si>
    <t xml:space="preserve">1423-1460</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</si>
  <si>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'UAD010-TO(4) - Error on SYNCPOINT '
                      DELIMITED BY SIZE,
                      'ROLLBACK after Updating TO account'
                      DELIMITED BY SIZE,
                      ' EIBRESP=' DELIMITED BY SIZE,
                      ABND-RESPCODE DELIMITED BY SIZE,
                      ' RESP2=' DELIMITED BY SIZE,
                      ABND-RESP2CODE DELIMITED BY SIZE
                      INTO ABND-FREEFORM
                   END-STRING
                   EXEC CICS LINK PROGRAM(WS-ABEND-PGM)
                        COMMAREA(ABNDINFO-REC)</t>
  </si>
  <si>
    <t xml:space="preserve">XFRFUN-058</t>
  </si>
  <si>
    <t xml:space="preserve">1552</t>
  </si>
  <si>
    <t xml:space="preserve">1554-1572</t>
  </si>
  <si>
    <t xml:space="preserve">Store the data away</t>
  </si>
  <si>
    <t xml:space="preserve">    MOVE HV-ACCOUNT-AVAIL-BAL  TO COMM-TAVBAL.
    MOVE HV-ACCOUNT-ACTUAL-BAL TO COMM-TACTBAL.
    MOVE 'Y' TO COMM-SUCCESS.
UADT999.
    EXIT.
WRITE-TO-PROCTRAN SECTION.
WTP010.
    PERFORM WRITE-TO-PROCTRAN-DB2.
WTP999.
    EXIT.
WRITE-TO-PROCTRAN-DB2 SECTION.
WTPD010.</t>
  </si>
  <si>
    <t xml:space="preserve">XFRFUN-059</t>
  </si>
  <si>
    <t xml:space="preserve">1574-1575</t>
  </si>
  <si>
    <t xml:space="preserve">1577-1584</t>
  </si>
  <si>
    <t xml:space="preserve">Writes details of the successful transfer to the PROCTRAN (Processed Transaction) datastore.</t>
  </si>
  <si>
    <t xml:space="preserve">    INITIALIZE HOST-PROCTRAN-ROW.
    INITIALIZE WS-EIBTASKN12.
    MOVE 'PRTR' TO HV-PROCTRAN-EYECATCHER.
    MOVE COMM-FSCODE TO HV-PROCTRAN-SORT-CODE.
    MOVE COMM-FACCNO TO HV-PROCTRAN-ACC-NUMBER.
    MOVE EIBTASKN TO WS-EIBTASKN12.
    MOVE WS-EIBTASKN12 TO HV-PROCTRAN-REF.</t>
  </si>
  <si>
    <t xml:space="preserve">XFRFUN-060</t>
  </si>
  <si>
    <t xml:space="preserve">1587</t>
  </si>
  <si>
    <t xml:space="preserve">1589-1625</t>
  </si>
  <si>
    <t xml:space="preserve">Populate the time and date</t>
  </si>
  <si>
    <t xml:space="preserve">    EXEC CICS ASKTIME
         ABSTIME(WS-U-TIME)
    END-EXEC.
    EXEC CICS FORMATTIME
         ABSTIME(WS-U-TIME)
         DDMMYYYY(WS-ORIG-DATE)
         TIME(HV-PROCTRAN-TIME)
         DATESEP('.')
    END-EXEC.
    MOVE WS-ORIG-DATE TO WS-ORIG-DATE-GRP-X.
    MOVE WS-ORIG-DATE-GRP-X TO HV-PROCTRAN-DATE.
    SET PROC-TY-TRANSFER IN PROCTRAN-AREA TO TRUE
    MOVE PROC-TRAN-TYPE IN PROCTRAN-AREA TO HV-PROCTRAN-TYPE.
    MOVE COMM-AMT TO HV-PROCTRAN-AMOUNT.
    SET PROC-TRAN-DESC-XFR-FLAG IN PROCTRAN-AREA TO TRUE.
    MOVE COMM-TSCODE
      TO PROC-TRAN-DESC-XFR-SORTCODE IN PROCTRAN-AREA.
    MOVE COMM-TACCNO
      TO PROC-TRAN-DESC-XFR-ACCOUNT IN PROCTRAN-AREA.
    MOVE PROC-TRAN-DESC IN PROCTRAN-AREA TO HV-PROCTRAN-DESC.
    EXEC SQL
         INSERT INTO PROCTRAN
         (
         PROCTRAN_EYECATCHER,
         PROCTRAN_SORTCODE,
         PROCTRAN_NUMBER,
         PROCTRAN_DATE,
         PROCTRAN_TIME,
         PROCTRAN_REF,
         PROCTRAN_TYPE,</t>
  </si>
  <si>
    <t xml:space="preserve">XFRFUN-063</t>
  </si>
  <si>
    <t xml:space="preserve">1659</t>
  </si>
  <si>
    <t xml:space="preserve">1661-1697</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</si>
  <si>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'WPCD'      TO ABND-CODE
       EXEC CICS ASSIGN PROGRAM(ABND-PROGRAM)
       END-EXEC
       MOVE WS-SQLCODE-DISP TO ABND-SQLCODE
       STRING 'WTPD010 - Unable to WRITE to PROCTRAN DB2 '
             DELIMITED BY SIZE,
             'datastore. Data='
             DELIMITED BY SIZE,
             HOST-PROCTRAN-ROW
             DELIMITED BY SIZE,
             '.Data inconsistency, data UPDATED on ACCOUNT file'
             DELIMITED BY SIZE,
             ' EIBRESP=' DELIMITED BY SIZE,
             ABND-RESPCODE DELIMITED BY SIZE,
             ' RESP2=' DELIMITED BY SIZE,
             ABND-RESP2CODE DELIMITED BY SIZE</t>
  </si>
  <si>
    <t xml:space="preserve">XFRFUN-066</t>
  </si>
  <si>
    <t xml:space="preserve">1772</t>
  </si>
  <si>
    <t xml:space="preserve">1774-1776</t>
  </si>
  <si>
    <t xml:space="preserve">Deal with any abends</t>
  </si>
  <si>
    <t xml:space="preserve">    EXEC CICS ASSIGN
       ABCODE(MY-ABEND-CODE)
    END-EXEC.</t>
  </si>
  <si>
    <t xml:space="preserve">XFRFUN-070</t>
  </si>
  <si>
    <t xml:space="preserve">1832</t>
  </si>
  <si>
    <t xml:space="preserve">1834-1870</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</si>
  <si>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'AH010 - Unable to perform SYNCPOINT '
                DELIMITED BY SIZE,
                'ROLLBACK.' DELIMITED BY SIZE,
                ' Possible integrity issue following VSAM RLS '
                DELIMITED BY SIZE,
                'abend.'
                DELIMITED BY SIZE,
                ' EIBRESP=' DELIMITED BY SIZE,
                ABND-RESPCODE DELIMITED BY SIZE,
                ' RESP2=' DELIMITED BY SIZE,
                ABND-RESP2CODE DELIMITED BY SIZE
                INTO ABND-FREEFORM</t>
  </si>
  <si>
    <t xml:space="preserve">BNK1CRA-010</t>
  </si>
  <si>
    <t xml:space="preserve">282</t>
  </si>
  <si>
    <t xml:space="preserve">284-322</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</si>
  <si>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'A010 - RETURN TRANSID(OCRA) FAIL.'
             DELIMITED BY SIZE,
             'EIBRESP=' DELIMITED BY SIZE,
             ABND-RESPCODE DELIMITED BY SIZE,
             ' RESP2=' DELIMITED BY SIZE,
             ABND-RESP2CODE DELIMITED BY SIZE
             INTO ABND-FREEFORM
       END-STRING
       EXEC CICS LINK PROGRAM(WS-ABEND-PGM)
                 COMMAREA(ABNDINFO-REC)
       END-EXEC
       INITIALIZE WS-FAIL-INFO</t>
  </si>
  <si>
    <t xml:space="preserve">BNK1CRA-011</t>
  </si>
  <si>
    <t xml:space="preserve">337</t>
  </si>
  <si>
    <t xml:space="preserve">339</t>
  </si>
  <si>
    <t xml:space="preserve">Retrieve the data from the map</t>
  </si>
  <si>
    <t xml:space="preserve">    PERFORM RECEIVE-MAP.</t>
  </si>
  <si>
    <t xml:space="preserve">BNK1CRA-012</t>
  </si>
  <si>
    <t xml:space="preserve">342</t>
  </si>
  <si>
    <t xml:space="preserve">344</t>
  </si>
  <si>
    <t xml:space="preserve">Validate the received data</t>
  </si>
  <si>
    <t xml:space="preserve">    PERFORM EDIT-DATA.</t>
  </si>
  <si>
    <t xml:space="preserve">BNK1CRA-014</t>
  </si>
  <si>
    <t xml:space="preserve">357</t>
  </si>
  <si>
    <t xml:space="preserve">359-366</t>
  </si>
  <si>
    <t xml:space="preserve">Output the data to the screen</t>
  </si>
  <si>
    <t xml:space="preserve">    PERFORM SEND-MAP.
PM999.
    EXIT.
RECEIVE-MAP SECTION.
RM010.</t>
  </si>
  <si>
    <t xml:space="preserve">BNK1CRA-017</t>
  </si>
  <si>
    <t xml:space="preserve">391-429</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</si>
  <si>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'RM010 - RECEIVE MAP FAIL.'
             DELIMITED BY SIZE,
             'EIBRESP=' DELIMITED BY SIZE,
             ABND-RESPCODE DELIMITED BY SIZE,
             ' RESP2=' DELIMITED BY SIZE,
             ABND-RESP2CODE DELIMITED BY SIZE
             INTO ABND-FREEFORM
       END-STRING
       EXEC CICS LINK PROGRAM(WS-ABEND-PGM)
                 COMMAREA(ABNDINFO-REC)
       END-EXEC
       INITIALIZE WS-FAIL-INFO</t>
  </si>
  <si>
    <t xml:space="preserve">BNK1CRA-019</t>
  </si>
  <si>
    <t xml:space="preserve">472</t>
  </si>
  <si>
    <t xml:space="preserve">474-481</t>
  </si>
  <si>
    <t xml:space="preserve">Validate the Amount entered</t>
  </si>
  <si>
    <t xml:space="preserve">    PERFORM VALIDATE-AMOUNT.
ED999.
    EXIT.
UPD-CRED-DATA SECTION.
UCD010.</t>
  </si>
  <si>
    <t xml:space="preserve">BNK1CRA-020</t>
  </si>
  <si>
    <t xml:space="preserve">486-489</t>
  </si>
  <si>
    <t xml:space="preserve">Set up the COMMAREA fields required by DBCRFUN and then link to it.</t>
  </si>
  <si>
    <t xml:space="preserve">    INITIALIZE SUBPGM-PARMS.
    MOVE ACCNOI TO SUBPGM-ACCNO.
    MOVE 0 TO SUBPGM-AMT.</t>
  </si>
  <si>
    <t xml:space="preserve">BNK1CRA-024</t>
  </si>
  <si>
    <t xml:space="preserve">530</t>
  </si>
  <si>
    <t xml:space="preserve">532-570</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</si>
  <si>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'UCD010 - LINK DBCRFUN FAIL.'
             DELIMITED BY SIZE,
             'EIBRESP=' DELIMITED BY SIZE,
             ABND-RESPCODE DELIMITED BY SIZE,
             ' RESP2=' DELIMITED BY SIZE,
             ABND-RESP2CODE DELIMITED BY SIZE
             INTO ABND-FREEFORM
       END-STRING
       EXEC CICS LINK PROGRAM(WS-ABEND-PGM)
                 COMMAREA(ABNDINFO-REC)
       END-EXEC
       INITIALIZE WS-FAIL-INFO</t>
  </si>
  <si>
    <t xml:space="preserve">BNK1CRA-026</t>
  </si>
  <si>
    <t xml:space="preserve">629</t>
  </si>
  <si>
    <t xml:space="preserve">631-644</t>
  </si>
  <si>
    <t xml:space="preserve">Set up the values on the map</t>
  </si>
  <si>
    <t xml:space="preserve">    MOVE SUBPGM-ACCNO       TO ACCNOO.
    MOVE SUBPGM-SORTC       TO SORTCO.
    MOVE SUBPGM-ACT-BAL    TO ACTUAL-BALANCE-DISPLAY.
    MOVE SUBPGM-AV-BAL     TO AVAILABLE-BALANCE-DISPLAY.
    MOVE ACTUAL-BALANCE-DISPLAY      TO ACTBALO.
    MOVE AVAILABLE-BALANCE-DISPLAY   TO AVBALO.
UCD999.
    EXIT.
SEND-MAP SECTION.
SM010.</t>
  </si>
  <si>
    <t xml:space="preserve">BNK1CRA-029</t>
  </si>
  <si>
    <t xml:space="preserve">668</t>
  </si>
  <si>
    <t xml:space="preserve">670-708</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</si>
  <si>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ERASE FAIL.'
                DELIMITED BY SIZE,
                'EIBRESP=' DELIMITED BY SIZE,
                ABND-RESPCODE DELIMITED BY SIZE,
                ' RESP2=' DELIMITED BY SIZE,
                ABND-RESP2CODE DELIMITED BY SIZE
                INTO ABND-FREEFORM
          END-STRING
          EXEC CICS LINK PROGRAM(WS-ABEND-PGM)
                    COMMAREA(ABNDINFO-REC)
          END-EXEC
          INITIALIZE WS-FAIL-INFO</t>
  </si>
  <si>
    <t xml:space="preserve">BNK1CRA-032</t>
  </si>
  <si>
    <t xml:space="preserve">742</t>
  </si>
  <si>
    <t xml:space="preserve">744-782</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</si>
  <si>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FAIL.'
                DELIMITED BY SIZE,
                'EIBRESP=' DELIMITED BY SIZE,
                ABND-RESPCODE DELIMITED BY SIZE,
                ' RESP2=' DELIMITED BY SIZE,
                ABND-RESP2CODE DELIMITED BY SIZE
                INTO ABND-FREEFORM
          END-STRING
          EXEC CICS LINK PROGRAM(WS-ABEND-PGM)
                    COMMAREA(ABNDINFO-REC)
          END-EXEC
          INITIALIZE WS-FAIL-INFO</t>
  </si>
  <si>
    <t xml:space="preserve">BNK1CRA-035</t>
  </si>
  <si>
    <t xml:space="preserve">819-857</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</si>
  <si>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ALARM FAIL.'
                DELIMITED BY SIZE,
                'EIBRESP=' DELIMITED BY SIZE,
                ABND-RESPCODE DELIMITED BY SIZE,
                ' RESP2=' DELIMITED BY SIZE,
                ABND-RESP2CODE DELIMITED BY SIZE
                INTO ABND-FREEFORM
          END-STRING
          EXEC CICS LINK PROGRAM(WS-ABEND-PGM)
                    COMMAREA(ABNDINFO-REC)
          END-EXEC
          INITIALIZE WS-FAIL-INFO</t>
  </si>
  <si>
    <t xml:space="preserve">BNK1CRA-038</t>
  </si>
  <si>
    <t xml:space="preserve">895</t>
  </si>
  <si>
    <t xml:space="preserve">897-935</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</si>
  <si>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'STM010 - SEND TEXT FAIL.'
             DELIMITED BY SIZE,
             'EIBRESP=' DELIMITED BY SIZE,
             ABND-RESPCODE DELIMITED BY SIZE,
             ' RESP2=' DELIMITED BY SIZE,
             ABND-RESP2CODE DELIMITED BY SIZE
             INTO ABND-FREEFORM
       END-STRING
       EXEC CICS LINK PROGRAM(WS-ABEND-PGM)
                 COMMAREA(ABNDINFO-REC)
       END-EXEC
       INITIALIZE WS-FAIL-INFO</t>
  </si>
  <si>
    <t xml:space="preserve">BNK1TFN-008</t>
  </si>
  <si>
    <t xml:space="preserve">239-242</t>
  </si>
  <si>
    <t xml:space="preserve">MOVE 10 TO CUSTNOL</t>
  </si>
  <si>
    <t xml:space="preserve">          SET SEND-DATAONLY-ALARM TO TRUE
          PERFORM SEND-MAP
    END-EVALUATE.</t>
  </si>
  <si>
    <t xml:space="preserve">possível código desativado</t>
  </si>
  <si>
    <t xml:space="preserve">BNK1TFN-011</t>
  </si>
  <si>
    <t xml:space="preserve">266</t>
  </si>
  <si>
    <t xml:space="preserve">268-307</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</si>
  <si>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'A010 - RETURN TRANSID(OCCS) FAIL.'
             DELIMITED BY SIZE,
             ' EIBRESP=' DELIMITED BY SIZE,
             ABND-RESPCODE DELIMITED BY SIZE,
             ' RESP2=' DELIMITED BY SIZE,
             ABND-RESP2CODE DELIMITED BY SIZE
             INTO ABND-FREEFORM
       END-STRING
       EXEC CICS LINK PROGRAM(WS-ABEND-PGM)
                 COMMAREA(ABNDINFO-REC)
       END-EXEC
       INITIALIZE WS-FAIL-INFO</t>
  </si>
  <si>
    <t xml:space="preserve">BNK1TFN-012</t>
  </si>
  <si>
    <t xml:space="preserve">322</t>
  </si>
  <si>
    <t xml:space="preserve">325</t>
  </si>
  <si>
    <t xml:space="preserve">BNK1TFN-013</t>
  </si>
  <si>
    <t xml:space="preserve">330</t>
  </si>
  <si>
    <t xml:space="preserve">BNK1TFN-015</t>
  </si>
  <si>
    <t xml:space="preserve">343</t>
  </si>
  <si>
    <t xml:space="preserve">345-352</t>
  </si>
  <si>
    <t xml:space="preserve">BNK1TFN-018</t>
  </si>
  <si>
    <t xml:space="preserve">375</t>
  </si>
  <si>
    <t xml:space="preserve">377-416</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</si>
  <si>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'RM010 - RECEIVE MAP FAIL.'
             DELIMITED BY SIZE,
             ' EIBRESP=' DELIMITED BY SIZE,
             ABND-RESPCODE DELIMITED BY SIZE,
             ' RESP2=' DELIMITED BY SIZE,
             ABND-RESP2CODE DELIMITED BY SIZE
             INTO ABND-FREEFORM
       END-STRING
       EXEC CICS LINK PROGRAM(WS-ABEND-PGM)
                 COMMAREA(ABNDINFO-REC)
       END-EXEC
       INITIALIZE WS-FAIL-INFO</t>
  </si>
  <si>
    <t xml:space="preserve">BNK1TFN-020</t>
  </si>
  <si>
    <t xml:space="preserve">470</t>
  </si>
  <si>
    <t xml:space="preserve">472-479</t>
  </si>
  <si>
    <t xml:space="preserve">    PERFORM VALIDATE-AMOUNT.
ED999.
    EXIT.
GET-ACC-DATA SECTION.
GCD010.</t>
  </si>
  <si>
    <t xml:space="preserve">BNK1TFN-021</t>
  </si>
  <si>
    <t xml:space="preserve">481-483</t>
  </si>
  <si>
    <t xml:space="preserve">485-489</t>
  </si>
  <si>
    <t xml:space="preserve">Set up the fields required by XFRFUN then link to it to get account information and perform the transfer, then check what gets returned.</t>
  </si>
  <si>
    <t xml:space="preserve">    INITIALIZE SUBPGM-PARMS.
    MOVE FACCNOI TO  SUBPGM-FACCNO.
    MOVE TACCNOI TO  SUBPGM-TACCNO.
    MOVE 'N'     TO  SUBPGM-SUCCESS.</t>
  </si>
  <si>
    <t xml:space="preserve">BNK1TFN-024</t>
  </si>
  <si>
    <t xml:space="preserve">515</t>
  </si>
  <si>
    <t xml:space="preserve">517-555</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</si>
  <si>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'GCD010 - LINK XFRFUN FAIL.'
             DELIMITED BY SIZE,
             ' EIBRESP=' DELIMITED BY SIZE,
             ABND-RESPCODE DELIMITED BY SIZE,
             ' RESP2=' DELIMITED BY SIZE,
             ABND-RESP2CODE DELIMITED BY SIZE
             INTO ABND-FREEFORM
       END-STRING
       EXEC CICS LINK PROGRAM(WS-ABEND-PGM)
                 COMMAREA(ABNDINFO-REC)
       END-EXEC
       INITIALIZE WS-FAIL-INFO</t>
  </si>
  <si>
    <t xml:space="preserve">BNK1TFN-025</t>
  </si>
  <si>
    <t xml:space="preserve">564</t>
  </si>
  <si>
    <t xml:space="preserve">566-577</t>
  </si>
  <si>
    <t xml:space="preserve">Map the returned data to the screen output fields</t>
  </si>
  <si>
    <t xml:space="preserve">    MOVE SUBPGM-FACCNO    TO FACCNO2O
    MOVE SUBPGM-FSCODE    TO FSORTCO
    MOVE SUBPGM-TACCNO    TO TACCNO2O
    MOVE SUBPGM-TSCODE    TO TSORTCO
    MOVE ZERO             TO FROM-ACTUAL-BALANCE-DISPLAY
    MOVE ZERO             TO FROM-AVAILABLE-BALANCE-DISPLAY
    MOVE ZERO             TO TO-ACTUAL-BALANCE-DISPLAY
    MOVE ZERO             TO TO-AVAILABLE-BALANCE-DISPLAY
    MOVE FROM-ACTUAL-BALANCE-DISPLAY TO FACTBALO
    MOVE FROM-AVAILABLE-BALANCE-DISPLAY TO FAVBALO
    MOVE TO-ACTUAL-BALANCE-DISPLAY    TO TACTBALO
    MOVE TO-AVAILABLE-BALANCE-DISPLAY TO TAVBALO</t>
  </si>
  <si>
    <t xml:space="preserve">BNK1TFN-027</t>
  </si>
  <si>
    <t xml:space="preserve">643</t>
  </si>
  <si>
    <t xml:space="preserve">645-663</t>
  </si>
  <si>
    <t xml:space="preserve">Map the remaining fields</t>
  </si>
  <si>
    <t xml:space="preserve">    MOVE SUBPGM-FACCNO    TO FACCNO2O.
    MOVE SUBPGM-FSCODE    TO FSORTCO.
    MOVE SUBPGM-TACCNO    TO TACCNO2O.
    MOVE SUBPGM-TSCODE    TO TSORTCO.
    MOVE SUBPGM-FACTBAL   TO FROM-ACTUAL-BALANCE-DISPLAY.
    MOVE SUBPGM-FAVBAL    TO FROM-AVAILABLE-BALANCE-DISPLAY.
    MOVE SUBPGM-TACTBAL   TO TO-ACTUAL-BALANCE-DISPLAY.
    MOVE SUBPGM-TAVBAL    TO TO-AVAILABLE-BALANCE-DISPLAY.
    MOVE FROM-ACTUAL-BALANCE-DISPLAY TO FACTBALO.
    MOVE FROM-AVAILABLE-BALANCE-DISPLAY TO FAVBALO.
    MOVE TO-ACTUAL-BALANCE-DISPLAY    TO TACTBALO.
    MOVE TO-AVAILABLE-BALANCE-DISPLAY TO TAVBALO.
GCD999.
    EXIT.
SEND-MAP SECTION.
SM010.</t>
  </si>
  <si>
    <t xml:space="preserve">BNK1TFN-030</t>
  </si>
  <si>
    <t xml:space="preserve">691</t>
  </si>
  <si>
    <t xml:space="preserve">693-731</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</si>
  <si>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ERASE FAIL.'
                DELIMITED BY SIZE,
                ' EIBRESP=' DELIMITED BY SIZE,
                ABND-RESPCODE DELIMITED BY SIZE,
                ' RESP2=' DELIMITED BY SIZE,
                ABND-RESP2CODE DELIMITED BY SIZE
                INTO ABND-FREEFORM
          END-STRING
          EXEC CICS LINK PROGRAM(WS-ABEND-PGM)
                    COMMAREA(ABNDINFO-REC)
          END-EXEC
          INITIALIZE WS-FAIL-INFO</t>
  </si>
  <si>
    <t xml:space="preserve">BNK1TFN-033</t>
  </si>
  <si>
    <t xml:space="preserve">765</t>
  </si>
  <si>
    <t xml:space="preserve">767-805</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</si>
  <si>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FAIL.'
                DELIMITED BY SIZE,
                ' EIBRESP=' DELIMITED BY SIZE,
                ABND-RESPCODE DELIMITED BY SIZE,
                ' RESP2=' DELIMITED BY SIZE,
                ABND-RESP2CODE DELIMITED BY SIZE
                INTO ABND-FREEFORM
          END-STRING
          EXEC CICS LINK PROGRAM(WS-ABEND-PGM)
                    COMMAREA(ABNDINFO-REC)
          END-EXEC
          INITIALIZE WS-FAIL-INFO</t>
  </si>
  <si>
    <t xml:space="preserve">BNK1TFN-036</t>
  </si>
  <si>
    <t xml:space="preserve">840</t>
  </si>
  <si>
    <t xml:space="preserve">842-880</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</si>
  <si>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ALARM FAIL.'
                DELIMITED BY SIZE,
                ' EIBRESP=' DELIMITED BY SIZE,
                ABND-RESPCODE DELIMITED BY SIZE,
                ' RESP2=' DELIMITED BY SIZE,
                ABND-RESP2CODE DELIMITED BY SIZE
                INTO ABND-FREEFORM
          END-STRING
          EXEC CICS LINK PROGRAM(WS-ABEND-PGM)
                    COMMAREA(ABNDINFO-REC)
          END-EXEC
          INITIALIZE WS-FAIL-INFO</t>
  </si>
  <si>
    <t xml:space="preserve">BNK1TFN-039</t>
  </si>
  <si>
    <t xml:space="preserve">918</t>
  </si>
  <si>
    <t xml:space="preserve">920-958</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</si>
  <si>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'STM010 - SEND TEXT FAIL.'
             DELIMITED BY SIZE,
             ' EIBRESP=' DELIMITED BY SIZE,
             ABND-RESPCODE DELIMITED BY SIZE,
             ' RESP2=' DELIMITED BY SIZE,
             ABND-RESP2CODE DELIMITED BY SIZE
             INTO ABND-FREEFORM
       END-STRING
       EXEC CICS LINK PROGRAM(WS-ABEND-PGM)
                 COMMAREA(ABNDINFO-REC)
       END-EXEC
       INITIALIZE WS-FAIL-INFO</t>
  </si>
  <si>
    <t xml:space="preserve">BNK1TFN-049</t>
  </si>
  <si>
    <t xml:space="preserve">1210</t>
  </si>
  <si>
    <t xml:space="preserve">1212-1224</t>
  </si>
  <si>
    <t xml:space="preserve">Fomate the date and time</t>
  </si>
  <si>
    <t xml:space="preserve">    EXEC CICS ASKTIME
       ABSTIME(WS-U-TIME)
    END-EXEC.
    EXEC CICS FORMATTIME
              ABSTIME(WS-U-TIME)
              DDMMYYYY(WS-ORIG-DATE)
              TIME(WS-TIME-NOW)
              DATESEP
    END-EXEC.
PTD999.
    EXIT.</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</si>
</sst>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b val="true"/>
      <sz val="10"/>
      <name val="Arial"/>
      <family val="0"/>
      <charset val="1"/>
    </font>
    <font>
      <sz val="10"/>
      <name val="Arial"/>
      <family val="0"/>
      <charset val="1"/>
    </font>
    <font>
      <b val="true"/>
      <sz val="10"/>
      <color rgb="FFFFFFFF"/>
      <name val="Arial"/>
      <family val="0"/>
      <charset val="1"/>
    </font>
    <font>
      <sz val="9"/>
      <name val="Courier New"/>
      <family val="0"/>
      <charset val="1"/>
    </font>
  </fonts>
  <fills count="4">
    <fill>
      <patternFill patternType="none"/>
    </fill>
    <fill>
      <patternFill patternType="gray125"/>
    </fill>
    <fill>
      <patternFill patternType="solid">
        <fgColor rgb="FF2F4F6F"/>
        <bgColor rgb="FF333333"/>
      </patternFill>
    </fill>
    <fill>
      <patternFill patternType="solid">
        <fgColor rgb="FFFFF9DB"/>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F4F6F"/>
          <bgColor rgb="FF000000"/>
        </patternFill>
      </fill>
    </dxf>
    <dxf>
      <fill>
        <patternFill patternType="solid">
          <bgColor rgb="FF000000"/>
        </patternFill>
      </fill>
    </dxf>
    <dxf>
      <fill>
        <patternFill patternType="solid">
          <fgColor rgb="FFFFFFFF"/>
          <bgColor rgb="FF000000"/>
        </patternFill>
      </fill>
    </dxf>
    <dxf>
      <fill>
        <patternFill patternType="solid">
          <fgColor rgb="FFFFF9D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DB"/>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4F6F"/>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0"/>
  </cols>
  <sheetData>
    <row r="1" customFormat="false" ht="16.15" hidden="false" customHeight="false" outlineLevel="0" collapsed="false">
      <c r="A1" s="1" t="s">
        <v>0</v>
      </c>
    </row>
    <row r="2" customFormat="false" ht="15" hidden="false" customHeight="false" outlineLevel="0" collapsed="false">
      <c r="A2" s="2"/>
    </row>
    <row r="3" customFormat="false" ht="23.85" hidden="false" customHeight="false" outlineLevel="0" collapsed="false">
      <c r="A3" s="2" t="s">
        <v>1</v>
      </c>
      <c r="B3" s="3" t="s">
        <v>2</v>
      </c>
    </row>
    <row r="4" customFormat="false" ht="23.85" hidden="false" customHeight="false" outlineLevel="0" collapsed="false">
      <c r="A4" s="2" t="s">
        <v>3</v>
      </c>
      <c r="B4" s="3" t="s">
        <v>4</v>
      </c>
    </row>
    <row r="5" customFormat="false" ht="23.85" hidden="false" customHeight="false" outlineLevel="0" collapsed="false">
      <c r="A5" s="2" t="s">
        <v>5</v>
      </c>
      <c r="B5" s="3" t="s">
        <v>6</v>
      </c>
    </row>
    <row r="6" customFormat="false" ht="23.85" hidden="false" customHeight="false" outlineLevel="0" collapsed="false">
      <c r="A6" s="2" t="s">
        <v>7</v>
      </c>
      <c r="B6" s="3" t="s">
        <v>8</v>
      </c>
    </row>
    <row r="7" customFormat="false" ht="15" hidden="false" customHeight="false" outlineLevel="0" collapsed="false">
      <c r="A7" s="2" t="s">
        <v>9</v>
      </c>
      <c r="B7" s="3" t="s">
        <v>10</v>
      </c>
    </row>
    <row r="8" customFormat="false" ht="46.25" hidden="false" customHeight="false" outlineLevel="0" collapsed="false">
      <c r="A8" s="2" t="s">
        <v>11</v>
      </c>
      <c r="B8" s="3" t="s">
        <v>12</v>
      </c>
    </row>
    <row r="9" customFormat="false" ht="35.05" hidden="false" customHeight="false" outlineLevel="0" collapsed="false">
      <c r="A9" s="2" t="s">
        <v>13</v>
      </c>
      <c r="B9" s="3" t="s">
        <v>14</v>
      </c>
    </row>
    <row r="10" customFormat="false" ht="15" hidden="false" customHeight="false" outlineLevel="0" collapsed="false">
      <c r="A10" s="2"/>
    </row>
    <row r="11" customFormat="false" ht="23.85" hidden="false" customHeight="false" outlineLevel="0" collapsed="false">
      <c r="A11" s="2" t="s">
        <v>15</v>
      </c>
      <c r="B11" s="3"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4" min="2" style="0" width="12"/>
    <col collapsed="false" customWidth="true" hidden="false" outlineLevel="0" max="6" min="5" style="0" width="10"/>
    <col collapsed="false" customWidth="true" hidden="false" outlineLevel="0" max="7" min="7" style="0" width="12"/>
    <col collapsed="false" customWidth="true" hidden="false" outlineLevel="0" max="8" min="8" style="0" width="11"/>
    <col collapsed="false" customWidth="true" hidden="false" outlineLevel="0" max="12" min="9" style="0" width="12"/>
  </cols>
  <sheetData>
    <row r="1" customFormat="false" ht="30" hidden="false" customHeight="true" outlineLevel="0" collapsed="false">
      <c r="A1" s="4" t="s">
        <v>17</v>
      </c>
      <c r="B1" s="4" t="s">
        <v>18</v>
      </c>
      <c r="C1" s="4" t="s">
        <v>19</v>
      </c>
      <c r="D1" s="4" t="s">
        <v>20</v>
      </c>
      <c r="E1" s="4" t="s">
        <v>21</v>
      </c>
      <c r="F1" s="4" t="s">
        <v>22</v>
      </c>
      <c r="G1" s="4" t="s">
        <v>23</v>
      </c>
      <c r="H1" s="4" t="s">
        <v>24</v>
      </c>
      <c r="I1" s="4" t="s">
        <v>25</v>
      </c>
      <c r="J1" s="4" t="s">
        <v>26</v>
      </c>
      <c r="K1" s="4" t="s">
        <v>27</v>
      </c>
      <c r="L1" s="4" t="s">
        <v>28</v>
      </c>
    </row>
    <row r="2" customFormat="false" ht="15" hidden="false" customHeight="false" outlineLevel="0" collapsed="false">
      <c r="A2" s="5" t="s">
        <v>29</v>
      </c>
      <c r="B2" s="5" t="n">
        <f aca="false">C2+D2</f>
        <v>33</v>
      </c>
      <c r="C2" s="5" t="n">
        <f aca="false">COUNTIF(Candidatos!$B:$B,$A2)</f>
        <v>18</v>
      </c>
      <c r="D2" s="5" t="n">
        <f aca="false">COUNTIF(Descartados!$B:$B,$A2)</f>
        <v>15</v>
      </c>
      <c r="E2" s="5" t="n">
        <f aca="false">COUNTIFS(Candidatos!$B:$B,$A2,Candidatos!$G:$G,"Decisão")</f>
        <v>7</v>
      </c>
      <c r="F2" s="5" t="n">
        <f aca="false">COUNTIFS(Candidatos!$B:$B,$A2,Candidatos!$G:$G,"Falha")</f>
        <v>4</v>
      </c>
      <c r="G2" s="5" t="n">
        <f aca="false">COUNTIFS(Candidatos!$B:$B,$A2,Candidatos!$G:$G,"Decisão e falha")</f>
        <v>7</v>
      </c>
      <c r="H2" s="5" t="n">
        <f aca="false">COUNTIFS(Candidatos!$B:$B,$A2,Candidatos!$I:$I,"&lt;&gt;")</f>
        <v>3</v>
      </c>
      <c r="I2" s="5" t="n">
        <f aca="false">COUNTIFS(Candidatos!$B:$B,$A2,Candidatos!$J:$J,"Manter")</f>
        <v>0</v>
      </c>
      <c r="J2" s="5" t="n">
        <f aca="false">COUNTIFS(Candidatos!$B:$B,$A2,Candidatos!$J:$J,"Descartar")</f>
        <v>0</v>
      </c>
      <c r="K2" s="5" t="n">
        <f aca="false">COUNTIFS(Candidatos!$B:$B,$A2,Candidatos!$J:$J,"Ajustar")</f>
        <v>0</v>
      </c>
      <c r="L2" s="5" t="n">
        <f aca="false">C2-I2-J2-K2</f>
        <v>18</v>
      </c>
    </row>
    <row r="3" customFormat="false" ht="15" hidden="false" customHeight="false" outlineLevel="0" collapsed="false">
      <c r="A3" s="5" t="s">
        <v>30</v>
      </c>
      <c r="B3" s="5" t="n">
        <f aca="false">C3+D3</f>
        <v>70</v>
      </c>
      <c r="C3" s="5" t="n">
        <f aca="false">COUNTIF(Candidatos!$B:$B,$A3)</f>
        <v>39</v>
      </c>
      <c r="D3" s="5" t="n">
        <f aca="false">COUNTIF(Descartados!$B:$B,$A3)</f>
        <v>31</v>
      </c>
      <c r="E3" s="5" t="n">
        <f aca="false">COUNTIFS(Candidatos!$B:$B,$A3,Candidatos!$G:$G,"Decisão")</f>
        <v>10</v>
      </c>
      <c r="F3" s="5" t="n">
        <f aca="false">COUNTIFS(Candidatos!$B:$B,$A3,Candidatos!$G:$G,"Falha")</f>
        <v>16</v>
      </c>
      <c r="G3" s="5" t="n">
        <f aca="false">COUNTIFS(Candidatos!$B:$B,$A3,Candidatos!$G:$G,"Decisão e falha")</f>
        <v>13</v>
      </c>
      <c r="H3" s="5" t="n">
        <f aca="false">COUNTIFS(Candidatos!$B:$B,$A3,Candidatos!$I:$I,"&lt;&gt;")</f>
        <v>4</v>
      </c>
      <c r="I3" s="5" t="n">
        <f aca="false">COUNTIFS(Candidatos!$B:$B,$A3,Candidatos!$J:$J,"Manter")</f>
        <v>0</v>
      </c>
      <c r="J3" s="5" t="n">
        <f aca="false">COUNTIFS(Candidatos!$B:$B,$A3,Candidatos!$J:$J,"Descartar")</f>
        <v>0</v>
      </c>
      <c r="K3" s="5" t="n">
        <f aca="false">COUNTIFS(Candidatos!$B:$B,$A3,Candidatos!$J:$J,"Ajustar")</f>
        <v>0</v>
      </c>
      <c r="L3" s="5" t="n">
        <f aca="false">C3-I3-J3-K3</f>
        <v>39</v>
      </c>
    </row>
    <row r="4" customFormat="false" ht="15" hidden="false" customHeight="false" outlineLevel="0" collapsed="false">
      <c r="A4" s="5" t="s">
        <v>31</v>
      </c>
      <c r="B4" s="5" t="n">
        <f aca="false">C4+D4</f>
        <v>43</v>
      </c>
      <c r="C4" s="5" t="n">
        <f aca="false">COUNTIF(Candidatos!$B:$B,$A4)</f>
        <v>30</v>
      </c>
      <c r="D4" s="5" t="n">
        <f aca="false">COUNTIF(Descartados!$B:$B,$A4)</f>
        <v>13</v>
      </c>
      <c r="E4" s="5" t="n">
        <f aca="false">COUNTIFS(Candidatos!$B:$B,$A4,Candidatos!$G:$G,"Decisão")</f>
        <v>16</v>
      </c>
      <c r="F4" s="5" t="n">
        <f aca="false">COUNTIFS(Candidatos!$B:$B,$A4,Candidatos!$G:$G,"Falha")</f>
        <v>7</v>
      </c>
      <c r="G4" s="5" t="n">
        <f aca="false">COUNTIFS(Candidatos!$B:$B,$A4,Candidatos!$G:$G,"Decisão e falha")</f>
        <v>7</v>
      </c>
      <c r="H4" s="5" t="n">
        <f aca="false">COUNTIFS(Candidatos!$B:$B,$A4,Candidatos!$I:$I,"&lt;&gt;")</f>
        <v>4</v>
      </c>
      <c r="I4" s="5" t="n">
        <f aca="false">COUNTIFS(Candidatos!$B:$B,$A4,Candidatos!$J:$J,"Manter")</f>
        <v>0</v>
      </c>
      <c r="J4" s="5" t="n">
        <f aca="false">COUNTIFS(Candidatos!$B:$B,$A4,Candidatos!$J:$J,"Descartar")</f>
        <v>0</v>
      </c>
      <c r="K4" s="5" t="n">
        <f aca="false">COUNTIFS(Candidatos!$B:$B,$A4,Candidatos!$J:$J,"Ajustar")</f>
        <v>0</v>
      </c>
      <c r="L4" s="5" t="n">
        <f aca="false">C4-I4-J4-K4</f>
        <v>30</v>
      </c>
    </row>
    <row r="5" customFormat="false" ht="15" hidden="false" customHeight="false" outlineLevel="0" collapsed="false">
      <c r="A5" s="5" t="s">
        <v>32</v>
      </c>
      <c r="B5" s="5" t="n">
        <f aca="false">C5+D5</f>
        <v>49</v>
      </c>
      <c r="C5" s="5" t="n">
        <f aca="false">COUNTIF(Candidatos!$B:$B,$A5)</f>
        <v>33</v>
      </c>
      <c r="D5" s="5" t="n">
        <f aca="false">COUNTIF(Descartados!$B:$B,$A5)</f>
        <v>16</v>
      </c>
      <c r="E5" s="5" t="n">
        <f aca="false">COUNTIFS(Candidatos!$B:$B,$A5,Candidatos!$G:$G,"Decisão")</f>
        <v>18</v>
      </c>
      <c r="F5" s="5" t="n">
        <f aca="false">COUNTIFS(Candidatos!$B:$B,$A5,Candidatos!$G:$G,"Falha")</f>
        <v>8</v>
      </c>
      <c r="G5" s="5" t="n">
        <f aca="false">COUNTIFS(Candidatos!$B:$B,$A5,Candidatos!$G:$G,"Decisão e falha")</f>
        <v>7</v>
      </c>
      <c r="H5" s="5" t="n">
        <f aca="false">COUNTIFS(Candidatos!$B:$B,$A5,Candidatos!$I:$I,"&lt;&gt;")</f>
        <v>5</v>
      </c>
      <c r="I5" s="5" t="n">
        <f aca="false">COUNTIFS(Candidatos!$B:$B,$A5,Candidatos!$J:$J,"Manter")</f>
        <v>0</v>
      </c>
      <c r="J5" s="5" t="n">
        <f aca="false">COUNTIFS(Candidatos!$B:$B,$A5,Candidatos!$J:$J,"Descartar")</f>
        <v>0</v>
      </c>
      <c r="K5" s="5" t="n">
        <f aca="false">COUNTIFS(Candidatos!$B:$B,$A5,Candidatos!$J:$J,"Ajustar")</f>
        <v>0</v>
      </c>
      <c r="L5" s="5" t="n">
        <f aca="false">C5-I5-J5-K5</f>
        <v>33</v>
      </c>
    </row>
    <row r="6" customFormat="false" ht="15" hidden="false" customHeight="false" outlineLevel="0" collapsed="false">
      <c r="A6" s="6" t="s">
        <v>33</v>
      </c>
      <c r="B6" s="6" t="n">
        <f aca="false">SUM(B2:B5)</f>
        <v>195</v>
      </c>
      <c r="C6" s="6" t="n">
        <f aca="false">SUM(C2:C5)</f>
        <v>120</v>
      </c>
      <c r="D6" s="6" t="n">
        <f aca="false">SUM(D2:D5)</f>
        <v>75</v>
      </c>
      <c r="E6" s="6" t="n">
        <f aca="false">SUM(E2:E5)</f>
        <v>51</v>
      </c>
      <c r="F6" s="6" t="n">
        <f aca="false">SUM(F2:F5)</f>
        <v>35</v>
      </c>
      <c r="G6" s="6" t="n">
        <f aca="false">SUM(G2:G5)</f>
        <v>34</v>
      </c>
      <c r="H6" s="6" t="n">
        <f aca="false">SUM(H2:H5)</f>
        <v>16</v>
      </c>
      <c r="I6" s="6" t="n">
        <f aca="false">SUM(I2:I5)</f>
        <v>0</v>
      </c>
      <c r="J6" s="6" t="n">
        <f aca="false">SUM(J2:J5)</f>
        <v>0</v>
      </c>
      <c r="K6" s="6" t="n">
        <f aca="false">SUM(K2:K5)</f>
        <v>0</v>
      </c>
      <c r="L6" s="6" t="n">
        <f aca="false">SUM(L2:L5)</f>
        <v>120</v>
      </c>
    </row>
    <row r="8" customFormat="false" ht="15" hidden="false" customHeight="false" outlineLevel="0" collapsed="false">
      <c r="A8" s="5"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4" min="3" style="0" width="11"/>
    <col collapsed="false" customWidth="true" hidden="false" outlineLevel="0" max="5" min="5" style="0" width="60"/>
    <col collapsed="false" customWidth="true" hidden="false" outlineLevel="0" max="6" min="6" style="0" width="72"/>
    <col collapsed="false" customWidth="true" hidden="false" outlineLevel="0" max="8" min="7" style="0" width="15"/>
    <col collapsed="false" customWidth="true" hidden="false" outlineLevel="0" max="9" min="9" style="0" width="24"/>
    <col collapsed="false" customWidth="true" hidden="false" outlineLevel="0" max="11" min="10" style="0" width="13"/>
    <col collapsed="false" customWidth="true" hidden="false" outlineLevel="0" max="12" min="12" style="0" width="50"/>
    <col collapsed="false" customWidth="true" hidden="false" outlineLevel="0" max="13" min="13" style="0" width="30"/>
  </cols>
  <sheetData>
    <row r="1" customFormat="false" ht="30" hidden="false" customHeight="true" outlineLevel="0" collapsed="false">
      <c r="A1" s="4" t="s">
        <v>35</v>
      </c>
      <c r="B1" s="4" t="s">
        <v>17</v>
      </c>
      <c r="C1" s="4" t="s">
        <v>36</v>
      </c>
      <c r="D1" s="4" t="s">
        <v>37</v>
      </c>
      <c r="E1" s="4" t="s">
        <v>38</v>
      </c>
      <c r="F1" s="4" t="s">
        <v>39</v>
      </c>
      <c r="G1" s="4" t="s">
        <v>40</v>
      </c>
      <c r="H1" s="4" t="s">
        <v>41</v>
      </c>
      <c r="I1" s="4" t="s">
        <v>11</v>
      </c>
      <c r="J1" s="4" t="s">
        <v>42</v>
      </c>
      <c r="K1" s="4" t="s">
        <v>43</v>
      </c>
      <c r="L1" s="4" t="s">
        <v>44</v>
      </c>
      <c r="M1" s="4" t="s">
        <v>45</v>
      </c>
    </row>
    <row r="2" customFormat="false" ht="53.7" hidden="false" customHeight="false" outlineLevel="0" collapsed="false">
      <c r="A2" s="3" t="s">
        <v>46</v>
      </c>
      <c r="B2" s="3" t="s">
        <v>29</v>
      </c>
      <c r="C2" s="3" t="s">
        <v>47</v>
      </c>
      <c r="D2" s="3" t="s">
        <v>48</v>
      </c>
      <c r="E2" s="3" t="s">
        <v>49</v>
      </c>
      <c r="F2" s="7" t="s">
        <v>50</v>
      </c>
      <c r="G2" s="3" t="s">
        <v>22</v>
      </c>
      <c r="H2" s="3" t="s">
        <v>51</v>
      </c>
      <c r="I2" s="3"/>
      <c r="J2" s="8"/>
      <c r="K2" s="8"/>
      <c r="L2" s="8"/>
      <c r="M2" s="8"/>
    </row>
    <row r="3" customFormat="false" ht="74.6" hidden="false" customHeight="false" outlineLevel="0" collapsed="false">
      <c r="A3" s="3" t="s">
        <v>52</v>
      </c>
      <c r="B3" s="3" t="s">
        <v>29</v>
      </c>
      <c r="C3" s="3" t="s">
        <v>53</v>
      </c>
      <c r="D3" s="3" t="s">
        <v>54</v>
      </c>
      <c r="E3" s="3" t="s">
        <v>55</v>
      </c>
      <c r="F3" s="7" t="s">
        <v>56</v>
      </c>
      <c r="G3" s="3" t="s">
        <v>23</v>
      </c>
      <c r="H3" s="3" t="s">
        <v>57</v>
      </c>
      <c r="I3" s="3"/>
      <c r="J3" s="8"/>
      <c r="K3" s="8"/>
      <c r="L3" s="8"/>
      <c r="M3" s="8"/>
    </row>
    <row r="4" customFormat="false" ht="35.05" hidden="false" customHeight="false" outlineLevel="0" collapsed="false">
      <c r="A4" s="3" t="s">
        <v>58</v>
      </c>
      <c r="B4" s="3" t="s">
        <v>29</v>
      </c>
      <c r="C4" s="3" t="s">
        <v>59</v>
      </c>
      <c r="D4" s="3" t="s">
        <v>60</v>
      </c>
      <c r="E4" s="3" t="s">
        <v>61</v>
      </c>
      <c r="F4" s="7" t="s">
        <v>62</v>
      </c>
      <c r="G4" s="3" t="s">
        <v>21</v>
      </c>
      <c r="H4" s="3" t="s">
        <v>63</v>
      </c>
      <c r="I4" s="3"/>
      <c r="J4" s="8"/>
      <c r="K4" s="8"/>
      <c r="L4" s="8"/>
      <c r="M4" s="8"/>
    </row>
    <row r="5" customFormat="false" ht="199.95" hidden="false" customHeight="false" outlineLevel="0" collapsed="false">
      <c r="A5" s="3" t="s">
        <v>64</v>
      </c>
      <c r="B5" s="3" t="s">
        <v>29</v>
      </c>
      <c r="C5" s="3" t="s">
        <v>65</v>
      </c>
      <c r="D5" s="3" t="s">
        <v>66</v>
      </c>
      <c r="E5" s="3" t="s">
        <v>67</v>
      </c>
      <c r="F5" s="7" t="s">
        <v>68</v>
      </c>
      <c r="G5" s="3" t="s">
        <v>21</v>
      </c>
      <c r="H5" s="3" t="s">
        <v>63</v>
      </c>
      <c r="I5" s="3" t="s">
        <v>69</v>
      </c>
      <c r="J5" s="8"/>
      <c r="K5" s="8"/>
      <c r="L5" s="8"/>
      <c r="M5" s="8"/>
    </row>
    <row r="6" customFormat="false" ht="85.05" hidden="false" customHeight="false" outlineLevel="0" collapsed="false">
      <c r="A6" s="3" t="s">
        <v>70</v>
      </c>
      <c r="B6" s="3" t="s">
        <v>29</v>
      </c>
      <c r="C6" s="3" t="s">
        <v>71</v>
      </c>
      <c r="D6" s="3" t="s">
        <v>72</v>
      </c>
      <c r="E6" s="3" t="s">
        <v>73</v>
      </c>
      <c r="F6" s="7" t="s">
        <v>74</v>
      </c>
      <c r="G6" s="3" t="s">
        <v>21</v>
      </c>
      <c r="H6" s="3" t="s">
        <v>63</v>
      </c>
      <c r="I6" s="3"/>
      <c r="J6" s="8"/>
      <c r="K6" s="8"/>
      <c r="L6" s="8"/>
      <c r="M6" s="8"/>
    </row>
    <row r="7" customFormat="false" ht="53.7" hidden="false" customHeight="false" outlineLevel="0" collapsed="false">
      <c r="A7" s="3" t="s">
        <v>75</v>
      </c>
      <c r="B7" s="3" t="s">
        <v>29</v>
      </c>
      <c r="C7" s="3" t="s">
        <v>76</v>
      </c>
      <c r="D7" s="3" t="s">
        <v>77</v>
      </c>
      <c r="E7" s="3" t="s">
        <v>78</v>
      </c>
      <c r="F7" s="7" t="s">
        <v>79</v>
      </c>
      <c r="G7" s="3" t="s">
        <v>22</v>
      </c>
      <c r="H7" s="3" t="s">
        <v>51</v>
      </c>
      <c r="I7" s="3"/>
      <c r="J7" s="8"/>
      <c r="K7" s="8"/>
      <c r="L7" s="8"/>
      <c r="M7" s="8"/>
    </row>
    <row r="8" customFormat="false" ht="32.8" hidden="false" customHeight="false" outlineLevel="0" collapsed="false">
      <c r="A8" s="3" t="s">
        <v>80</v>
      </c>
      <c r="B8" s="3" t="s">
        <v>29</v>
      </c>
      <c r="C8" s="3" t="s">
        <v>81</v>
      </c>
      <c r="D8" s="3" t="s">
        <v>82</v>
      </c>
      <c r="E8" s="3" t="s">
        <v>83</v>
      </c>
      <c r="F8" s="7" t="s">
        <v>84</v>
      </c>
      <c r="G8" s="3" t="s">
        <v>23</v>
      </c>
      <c r="H8" s="3" t="s">
        <v>57</v>
      </c>
      <c r="I8" s="3"/>
      <c r="J8" s="8"/>
      <c r="K8" s="8"/>
      <c r="L8" s="8"/>
      <c r="M8" s="8"/>
    </row>
    <row r="9" customFormat="false" ht="158.2" hidden="false" customHeight="false" outlineLevel="0" collapsed="false">
      <c r="A9" s="3" t="s">
        <v>85</v>
      </c>
      <c r="B9" s="3" t="s">
        <v>29</v>
      </c>
      <c r="C9" s="3" t="s">
        <v>86</v>
      </c>
      <c r="D9" s="3" t="s">
        <v>87</v>
      </c>
      <c r="E9" s="3" t="s">
        <v>88</v>
      </c>
      <c r="F9" s="7" t="s">
        <v>89</v>
      </c>
      <c r="G9" s="3" t="s">
        <v>21</v>
      </c>
      <c r="H9" s="3" t="s">
        <v>63</v>
      </c>
      <c r="I9" s="3"/>
      <c r="J9" s="8"/>
      <c r="K9" s="8"/>
      <c r="L9" s="8"/>
      <c r="M9" s="8"/>
    </row>
    <row r="10" customFormat="false" ht="85.05" hidden="false" customHeight="false" outlineLevel="0" collapsed="false">
      <c r="A10" s="3" t="s">
        <v>90</v>
      </c>
      <c r="B10" s="3" t="s">
        <v>29</v>
      </c>
      <c r="C10" s="3" t="s">
        <v>91</v>
      </c>
      <c r="D10" s="3" t="s">
        <v>92</v>
      </c>
      <c r="E10" s="3" t="s">
        <v>93</v>
      </c>
      <c r="F10" s="7" t="s">
        <v>94</v>
      </c>
      <c r="G10" s="3" t="s">
        <v>21</v>
      </c>
      <c r="H10" s="3" t="s">
        <v>63</v>
      </c>
      <c r="I10" s="3"/>
      <c r="J10" s="8"/>
      <c r="K10" s="8"/>
      <c r="L10" s="8"/>
      <c r="M10" s="8"/>
    </row>
    <row r="11" customFormat="false" ht="74.6" hidden="false" customHeight="false" outlineLevel="0" collapsed="false">
      <c r="A11" s="3" t="s">
        <v>95</v>
      </c>
      <c r="B11" s="3" t="s">
        <v>29</v>
      </c>
      <c r="C11" s="3" t="s">
        <v>96</v>
      </c>
      <c r="D11" s="3" t="s">
        <v>97</v>
      </c>
      <c r="E11" s="3" t="s">
        <v>98</v>
      </c>
      <c r="F11" s="7" t="s">
        <v>99</v>
      </c>
      <c r="G11" s="3" t="s">
        <v>21</v>
      </c>
      <c r="H11" s="3" t="s">
        <v>63</v>
      </c>
      <c r="I11" s="3"/>
      <c r="J11" s="8"/>
      <c r="K11" s="8"/>
      <c r="L11" s="8"/>
      <c r="M11" s="8"/>
    </row>
    <row r="12" customFormat="false" ht="53.7" hidden="false" customHeight="false" outlineLevel="0" collapsed="false">
      <c r="A12" s="3" t="s">
        <v>100</v>
      </c>
      <c r="B12" s="3" t="s">
        <v>29</v>
      </c>
      <c r="C12" s="3" t="s">
        <v>101</v>
      </c>
      <c r="D12" s="3" t="s">
        <v>102</v>
      </c>
      <c r="E12" s="3" t="s">
        <v>103</v>
      </c>
      <c r="F12" s="7" t="s">
        <v>104</v>
      </c>
      <c r="G12" s="3" t="s">
        <v>23</v>
      </c>
      <c r="H12" s="3" t="s">
        <v>57</v>
      </c>
      <c r="I12" s="3" t="s">
        <v>105</v>
      </c>
      <c r="J12" s="8"/>
      <c r="K12" s="8"/>
      <c r="L12" s="8"/>
      <c r="M12" s="8"/>
    </row>
    <row r="13" customFormat="false" ht="53.7" hidden="false" customHeight="false" outlineLevel="0" collapsed="false">
      <c r="A13" s="3" t="s">
        <v>106</v>
      </c>
      <c r="B13" s="3" t="s">
        <v>29</v>
      </c>
      <c r="C13" s="3" t="s">
        <v>107</v>
      </c>
      <c r="D13" s="3" t="s">
        <v>108</v>
      </c>
      <c r="E13" s="3" t="s">
        <v>109</v>
      </c>
      <c r="F13" s="7" t="s">
        <v>110</v>
      </c>
      <c r="G13" s="3" t="s">
        <v>23</v>
      </c>
      <c r="H13" s="3" t="s">
        <v>57</v>
      </c>
      <c r="I13" s="3"/>
      <c r="J13" s="8"/>
      <c r="K13" s="8"/>
      <c r="L13" s="8"/>
      <c r="M13" s="8"/>
    </row>
    <row r="14" customFormat="false" ht="35.05" hidden="false" customHeight="false" outlineLevel="0" collapsed="false">
      <c r="A14" s="3" t="s">
        <v>111</v>
      </c>
      <c r="B14" s="3" t="s">
        <v>29</v>
      </c>
      <c r="C14" s="3" t="s">
        <v>112</v>
      </c>
      <c r="D14" s="3" t="s">
        <v>113</v>
      </c>
      <c r="E14" s="3" t="s">
        <v>114</v>
      </c>
      <c r="F14" s="7" t="s">
        <v>115</v>
      </c>
      <c r="G14" s="3" t="s">
        <v>22</v>
      </c>
      <c r="H14" s="3" t="s">
        <v>51</v>
      </c>
      <c r="I14" s="3"/>
      <c r="J14" s="8"/>
      <c r="K14" s="8"/>
      <c r="L14" s="8"/>
      <c r="M14" s="8"/>
    </row>
    <row r="15" customFormat="false" ht="158.2" hidden="false" customHeight="false" outlineLevel="0" collapsed="false">
      <c r="A15" s="3" t="s">
        <v>116</v>
      </c>
      <c r="B15" s="3" t="s">
        <v>29</v>
      </c>
      <c r="C15" s="3" t="s">
        <v>117</v>
      </c>
      <c r="D15" s="3" t="s">
        <v>118</v>
      </c>
      <c r="E15" s="3" t="s">
        <v>119</v>
      </c>
      <c r="F15" s="7" t="s">
        <v>120</v>
      </c>
      <c r="G15" s="3" t="s">
        <v>23</v>
      </c>
      <c r="H15" s="3" t="s">
        <v>121</v>
      </c>
      <c r="I15" s="3"/>
      <c r="J15" s="8"/>
      <c r="K15" s="8"/>
      <c r="L15" s="8"/>
      <c r="M15" s="8"/>
    </row>
    <row r="16" customFormat="false" ht="57.45" hidden="false" customHeight="false" outlineLevel="0" collapsed="false">
      <c r="A16" s="3" t="s">
        <v>122</v>
      </c>
      <c r="B16" s="3" t="s">
        <v>29</v>
      </c>
      <c r="C16" s="3" t="s">
        <v>123</v>
      </c>
      <c r="D16" s="3" t="s">
        <v>124</v>
      </c>
      <c r="E16" s="3" t="s">
        <v>125</v>
      </c>
      <c r="F16" s="7" t="s">
        <v>126</v>
      </c>
      <c r="G16" s="3" t="s">
        <v>21</v>
      </c>
      <c r="H16" s="3" t="s">
        <v>127</v>
      </c>
      <c r="I16" s="3"/>
      <c r="J16" s="8"/>
      <c r="K16" s="8"/>
      <c r="L16" s="8"/>
      <c r="M16" s="8"/>
    </row>
    <row r="17" customFormat="false" ht="147.75" hidden="false" customHeight="false" outlineLevel="0" collapsed="false">
      <c r="A17" s="3" t="s">
        <v>128</v>
      </c>
      <c r="B17" s="3" t="s">
        <v>29</v>
      </c>
      <c r="C17" s="3" t="s">
        <v>129</v>
      </c>
      <c r="D17" s="3" t="s">
        <v>130</v>
      </c>
      <c r="E17" s="3" t="s">
        <v>131</v>
      </c>
      <c r="F17" s="7" t="s">
        <v>132</v>
      </c>
      <c r="G17" s="3" t="s">
        <v>23</v>
      </c>
      <c r="H17" s="3" t="s">
        <v>133</v>
      </c>
      <c r="I17" s="3" t="s">
        <v>105</v>
      </c>
      <c r="J17" s="8"/>
      <c r="K17" s="8"/>
      <c r="L17" s="8"/>
      <c r="M17" s="8"/>
    </row>
    <row r="18" customFormat="false" ht="137.3" hidden="false" customHeight="false" outlineLevel="0" collapsed="false">
      <c r="A18" s="3" t="s">
        <v>134</v>
      </c>
      <c r="B18" s="3" t="s">
        <v>29</v>
      </c>
      <c r="C18" s="3" t="s">
        <v>135</v>
      </c>
      <c r="D18" s="3" t="s">
        <v>136</v>
      </c>
      <c r="E18" s="3" t="s">
        <v>137</v>
      </c>
      <c r="F18" s="7" t="s">
        <v>138</v>
      </c>
      <c r="G18" s="3" t="s">
        <v>23</v>
      </c>
      <c r="H18" s="3" t="s">
        <v>139</v>
      </c>
      <c r="I18" s="3"/>
      <c r="J18" s="8"/>
      <c r="K18" s="8"/>
      <c r="L18" s="8"/>
      <c r="M18" s="8"/>
    </row>
    <row r="19" customFormat="false" ht="35.05" hidden="false" customHeight="false" outlineLevel="0" collapsed="false">
      <c r="A19" s="3" t="s">
        <v>140</v>
      </c>
      <c r="B19" s="3" t="s">
        <v>29</v>
      </c>
      <c r="C19" s="3" t="s">
        <v>141</v>
      </c>
      <c r="D19" s="3" t="s">
        <v>142</v>
      </c>
      <c r="E19" s="3" t="s">
        <v>114</v>
      </c>
      <c r="F19" s="7" t="s">
        <v>143</v>
      </c>
      <c r="G19" s="3" t="s">
        <v>22</v>
      </c>
      <c r="H19" s="3" t="s">
        <v>51</v>
      </c>
      <c r="I19" s="3"/>
      <c r="J19" s="8"/>
      <c r="K19" s="8"/>
      <c r="L19" s="8"/>
      <c r="M19" s="8"/>
    </row>
    <row r="20" customFormat="false" ht="64.15" hidden="false" customHeight="false" outlineLevel="0" collapsed="false">
      <c r="A20" s="3" t="s">
        <v>144</v>
      </c>
      <c r="B20" s="3" t="s">
        <v>30</v>
      </c>
      <c r="C20" s="3" t="s">
        <v>145</v>
      </c>
      <c r="D20" s="3" t="s">
        <v>146</v>
      </c>
      <c r="E20" s="3" t="s">
        <v>147</v>
      </c>
      <c r="F20" s="7" t="s">
        <v>148</v>
      </c>
      <c r="G20" s="3" t="s">
        <v>21</v>
      </c>
      <c r="H20" s="3" t="s">
        <v>63</v>
      </c>
      <c r="I20" s="3"/>
      <c r="J20" s="8"/>
      <c r="K20" s="8"/>
      <c r="L20" s="8"/>
      <c r="M20" s="8"/>
    </row>
    <row r="21" customFormat="false" ht="23.85" hidden="false" customHeight="false" outlineLevel="0" collapsed="false">
      <c r="A21" s="3" t="s">
        <v>149</v>
      </c>
      <c r="B21" s="3" t="s">
        <v>30</v>
      </c>
      <c r="C21" s="3" t="s">
        <v>150</v>
      </c>
      <c r="D21" s="3" t="s">
        <v>151</v>
      </c>
      <c r="E21" s="3" t="s">
        <v>152</v>
      </c>
      <c r="F21" s="7" t="s">
        <v>153</v>
      </c>
      <c r="G21" s="3" t="s">
        <v>21</v>
      </c>
      <c r="H21" s="3" t="s">
        <v>63</v>
      </c>
      <c r="I21" s="3"/>
      <c r="J21" s="8"/>
      <c r="K21" s="8"/>
      <c r="L21" s="8"/>
      <c r="M21" s="8"/>
    </row>
    <row r="22" customFormat="false" ht="35.05" hidden="false" customHeight="false" outlineLevel="0" collapsed="false">
      <c r="A22" s="3" t="s">
        <v>154</v>
      </c>
      <c r="B22" s="3" t="s">
        <v>30</v>
      </c>
      <c r="C22" s="3" t="s">
        <v>155</v>
      </c>
      <c r="D22" s="3" t="s">
        <v>156</v>
      </c>
      <c r="E22" s="3" t="s">
        <v>114</v>
      </c>
      <c r="F22" s="7" t="s">
        <v>157</v>
      </c>
      <c r="G22" s="3" t="s">
        <v>22</v>
      </c>
      <c r="H22" s="3" t="s">
        <v>51</v>
      </c>
      <c r="I22" s="3"/>
      <c r="J22" s="8"/>
      <c r="K22" s="8"/>
      <c r="L22" s="8"/>
      <c r="M22" s="8"/>
    </row>
    <row r="23" customFormat="false" ht="43.25" hidden="false" customHeight="false" outlineLevel="0" collapsed="false">
      <c r="A23" s="3" t="s">
        <v>158</v>
      </c>
      <c r="B23" s="3" t="s">
        <v>30</v>
      </c>
      <c r="C23" s="3" t="s">
        <v>159</v>
      </c>
      <c r="D23" s="3" t="s">
        <v>160</v>
      </c>
      <c r="E23" s="3" t="s">
        <v>161</v>
      </c>
      <c r="F23" s="7" t="s">
        <v>162</v>
      </c>
      <c r="G23" s="3" t="s">
        <v>21</v>
      </c>
      <c r="H23" s="3" t="s">
        <v>63</v>
      </c>
      <c r="I23" s="3"/>
      <c r="J23" s="8"/>
      <c r="K23" s="8"/>
      <c r="L23" s="8"/>
      <c r="M23" s="8"/>
    </row>
    <row r="24" customFormat="false" ht="85.05" hidden="false" customHeight="false" outlineLevel="0" collapsed="false">
      <c r="A24" s="3" t="s">
        <v>163</v>
      </c>
      <c r="B24" s="3" t="s">
        <v>30</v>
      </c>
      <c r="C24" s="3" t="s">
        <v>164</v>
      </c>
      <c r="D24" s="3" t="s">
        <v>165</v>
      </c>
      <c r="E24" s="3" t="s">
        <v>166</v>
      </c>
      <c r="F24" s="7" t="s">
        <v>167</v>
      </c>
      <c r="G24" s="3" t="s">
        <v>23</v>
      </c>
      <c r="H24" s="3" t="s">
        <v>57</v>
      </c>
      <c r="I24" s="3"/>
      <c r="J24" s="8"/>
      <c r="K24" s="8"/>
      <c r="L24" s="8"/>
      <c r="M24" s="8"/>
    </row>
    <row r="25" customFormat="false" ht="35.05" hidden="false" customHeight="false" outlineLevel="0" collapsed="false">
      <c r="A25" s="3" t="s">
        <v>168</v>
      </c>
      <c r="B25" s="3" t="s">
        <v>30</v>
      </c>
      <c r="C25" s="3" t="s">
        <v>169</v>
      </c>
      <c r="D25" s="3" t="s">
        <v>170</v>
      </c>
      <c r="E25" s="3" t="s">
        <v>114</v>
      </c>
      <c r="F25" s="7" t="s">
        <v>171</v>
      </c>
      <c r="G25" s="3" t="s">
        <v>22</v>
      </c>
      <c r="H25" s="3" t="s">
        <v>51</v>
      </c>
      <c r="I25" s="3"/>
      <c r="J25" s="8"/>
      <c r="K25" s="8"/>
      <c r="L25" s="8"/>
      <c r="M25" s="8"/>
    </row>
    <row r="26" customFormat="false" ht="85.05" hidden="false" customHeight="false" outlineLevel="0" collapsed="false">
      <c r="A26" s="3" t="s">
        <v>172</v>
      </c>
      <c r="B26" s="3" t="s">
        <v>30</v>
      </c>
      <c r="C26" s="3" t="s">
        <v>173</v>
      </c>
      <c r="D26" s="3" t="s">
        <v>174</v>
      </c>
      <c r="E26" s="3" t="s">
        <v>175</v>
      </c>
      <c r="F26" s="7" t="s">
        <v>176</v>
      </c>
      <c r="G26" s="3" t="s">
        <v>22</v>
      </c>
      <c r="H26" s="3" t="s">
        <v>51</v>
      </c>
      <c r="I26" s="3"/>
      <c r="J26" s="8"/>
      <c r="K26" s="8"/>
      <c r="L26" s="8"/>
      <c r="M26" s="8"/>
    </row>
    <row r="27" customFormat="false" ht="64.15" hidden="false" customHeight="false" outlineLevel="0" collapsed="false">
      <c r="A27" s="3" t="s">
        <v>177</v>
      </c>
      <c r="B27" s="3" t="s">
        <v>30</v>
      </c>
      <c r="C27" s="3" t="s">
        <v>178</v>
      </c>
      <c r="D27" s="3" t="s">
        <v>179</v>
      </c>
      <c r="E27" s="3" t="s">
        <v>180</v>
      </c>
      <c r="F27" s="7" t="s">
        <v>181</v>
      </c>
      <c r="G27" s="3" t="s">
        <v>21</v>
      </c>
      <c r="H27" s="3" t="s">
        <v>63</v>
      </c>
      <c r="I27" s="3"/>
      <c r="J27" s="8"/>
      <c r="K27" s="8"/>
      <c r="L27" s="8"/>
      <c r="M27" s="8"/>
    </row>
    <row r="28" customFormat="false" ht="137.3" hidden="false" customHeight="false" outlineLevel="0" collapsed="false">
      <c r="A28" s="3" t="s">
        <v>182</v>
      </c>
      <c r="B28" s="3" t="s">
        <v>30</v>
      </c>
      <c r="C28" s="3" t="s">
        <v>183</v>
      </c>
      <c r="D28" s="3" t="s">
        <v>184</v>
      </c>
      <c r="E28" s="3" t="s">
        <v>185</v>
      </c>
      <c r="F28" s="7" t="s">
        <v>186</v>
      </c>
      <c r="G28" s="3" t="s">
        <v>23</v>
      </c>
      <c r="H28" s="3" t="s">
        <v>57</v>
      </c>
      <c r="I28" s="3"/>
      <c r="J28" s="8"/>
      <c r="K28" s="8"/>
      <c r="L28" s="8"/>
      <c r="M28" s="8"/>
    </row>
    <row r="29" customFormat="false" ht="35.05" hidden="false" customHeight="false" outlineLevel="0" collapsed="false">
      <c r="A29" s="3" t="s">
        <v>187</v>
      </c>
      <c r="B29" s="3" t="s">
        <v>30</v>
      </c>
      <c r="C29" s="3" t="s">
        <v>188</v>
      </c>
      <c r="D29" s="3" t="s">
        <v>189</v>
      </c>
      <c r="E29" s="3" t="s">
        <v>114</v>
      </c>
      <c r="F29" s="7" t="s">
        <v>143</v>
      </c>
      <c r="G29" s="3" t="s">
        <v>22</v>
      </c>
      <c r="H29" s="3" t="s">
        <v>51</v>
      </c>
      <c r="I29" s="3"/>
      <c r="J29" s="8"/>
      <c r="K29" s="8"/>
      <c r="L29" s="8"/>
      <c r="M29" s="8"/>
    </row>
    <row r="30" customFormat="false" ht="43.25" hidden="false" customHeight="false" outlineLevel="0" collapsed="false">
      <c r="A30" s="3" t="s">
        <v>190</v>
      </c>
      <c r="B30" s="3" t="s">
        <v>30</v>
      </c>
      <c r="C30" s="3" t="s">
        <v>191</v>
      </c>
      <c r="D30" s="3" t="s">
        <v>192</v>
      </c>
      <c r="E30" s="3" t="s">
        <v>193</v>
      </c>
      <c r="F30" s="7" t="s">
        <v>194</v>
      </c>
      <c r="G30" s="3" t="s">
        <v>21</v>
      </c>
      <c r="H30" s="3" t="s">
        <v>63</v>
      </c>
      <c r="I30" s="3"/>
      <c r="J30" s="8"/>
      <c r="K30" s="8"/>
      <c r="L30" s="8"/>
      <c r="M30" s="8"/>
    </row>
    <row r="31" customFormat="false" ht="22.35" hidden="false" customHeight="false" outlineLevel="0" collapsed="false">
      <c r="A31" s="3" t="s">
        <v>195</v>
      </c>
      <c r="B31" s="3" t="s">
        <v>30</v>
      </c>
      <c r="C31" s="3" t="s">
        <v>196</v>
      </c>
      <c r="D31" s="3" t="s">
        <v>197</v>
      </c>
      <c r="E31" s="3" t="s">
        <v>198</v>
      </c>
      <c r="F31" s="7" t="s">
        <v>199</v>
      </c>
      <c r="G31" s="3" t="s">
        <v>21</v>
      </c>
      <c r="H31" s="3" t="s">
        <v>63</v>
      </c>
      <c r="I31" s="3"/>
      <c r="J31" s="8"/>
      <c r="K31" s="8"/>
      <c r="L31" s="8"/>
      <c r="M31" s="8"/>
    </row>
    <row r="32" customFormat="false" ht="35.05" hidden="false" customHeight="false" outlineLevel="0" collapsed="false">
      <c r="A32" s="3" t="s">
        <v>200</v>
      </c>
      <c r="B32" s="3" t="s">
        <v>30</v>
      </c>
      <c r="C32" s="3" t="s">
        <v>201</v>
      </c>
      <c r="D32" s="3" t="s">
        <v>202</v>
      </c>
      <c r="E32" s="3" t="s">
        <v>114</v>
      </c>
      <c r="F32" s="7" t="s">
        <v>203</v>
      </c>
      <c r="G32" s="3" t="s">
        <v>22</v>
      </c>
      <c r="H32" s="3" t="s">
        <v>51</v>
      </c>
      <c r="I32" s="3"/>
      <c r="J32" s="8"/>
      <c r="K32" s="8"/>
      <c r="L32" s="8"/>
      <c r="M32" s="8"/>
    </row>
    <row r="33" customFormat="false" ht="15" hidden="false" customHeight="false" outlineLevel="0" collapsed="false">
      <c r="A33" s="3" t="s">
        <v>204</v>
      </c>
      <c r="B33" s="3" t="s">
        <v>30</v>
      </c>
      <c r="C33" s="3" t="s">
        <v>205</v>
      </c>
      <c r="D33" s="3" t="s">
        <v>206</v>
      </c>
      <c r="E33" s="3" t="s">
        <v>207</v>
      </c>
      <c r="F33" s="7" t="s">
        <v>208</v>
      </c>
      <c r="G33" s="3" t="s">
        <v>23</v>
      </c>
      <c r="H33" s="3" t="s">
        <v>57</v>
      </c>
      <c r="I33" s="3"/>
      <c r="J33" s="8"/>
      <c r="K33" s="8"/>
      <c r="L33" s="8"/>
      <c r="M33" s="8"/>
    </row>
    <row r="34" customFormat="false" ht="35.05" hidden="false" customHeight="false" outlineLevel="0" collapsed="false">
      <c r="A34" s="3" t="s">
        <v>209</v>
      </c>
      <c r="B34" s="3" t="s">
        <v>30</v>
      </c>
      <c r="C34" s="3" t="s">
        <v>210</v>
      </c>
      <c r="D34" s="3" t="s">
        <v>211</v>
      </c>
      <c r="E34" s="3" t="s">
        <v>114</v>
      </c>
      <c r="F34" s="7" t="s">
        <v>171</v>
      </c>
      <c r="G34" s="3" t="s">
        <v>22</v>
      </c>
      <c r="H34" s="3" t="s">
        <v>51</v>
      </c>
      <c r="I34" s="3"/>
      <c r="J34" s="8"/>
      <c r="K34" s="8"/>
      <c r="L34" s="8"/>
      <c r="M34" s="8"/>
    </row>
    <row r="35" customFormat="false" ht="23.85" hidden="false" customHeight="false" outlineLevel="0" collapsed="false">
      <c r="A35" s="3" t="s">
        <v>212</v>
      </c>
      <c r="B35" s="3" t="s">
        <v>30</v>
      </c>
      <c r="C35" s="3" t="s">
        <v>213</v>
      </c>
      <c r="D35" s="3" t="s">
        <v>214</v>
      </c>
      <c r="E35" s="3" t="s">
        <v>215</v>
      </c>
      <c r="F35" s="7" t="s">
        <v>216</v>
      </c>
      <c r="G35" s="3" t="s">
        <v>21</v>
      </c>
      <c r="H35" s="3" t="s">
        <v>63</v>
      </c>
      <c r="I35" s="3"/>
      <c r="J35" s="8"/>
      <c r="K35" s="8"/>
      <c r="L35" s="8"/>
      <c r="M35" s="8"/>
    </row>
    <row r="36" customFormat="false" ht="35.05" hidden="false" customHeight="false" outlineLevel="0" collapsed="false">
      <c r="A36" s="3" t="s">
        <v>217</v>
      </c>
      <c r="B36" s="3" t="s">
        <v>30</v>
      </c>
      <c r="C36" s="3" t="s">
        <v>218</v>
      </c>
      <c r="D36" s="3" t="s">
        <v>219</v>
      </c>
      <c r="E36" s="3" t="s">
        <v>114</v>
      </c>
      <c r="F36" s="7" t="s">
        <v>143</v>
      </c>
      <c r="G36" s="3" t="s">
        <v>22</v>
      </c>
      <c r="H36" s="3" t="s">
        <v>51</v>
      </c>
      <c r="I36" s="3"/>
      <c r="J36" s="8"/>
      <c r="K36" s="8"/>
      <c r="L36" s="8"/>
      <c r="M36" s="8"/>
    </row>
    <row r="37" customFormat="false" ht="35.05" hidden="false" customHeight="false" outlineLevel="0" collapsed="false">
      <c r="A37" s="3" t="s">
        <v>220</v>
      </c>
      <c r="B37" s="3" t="s">
        <v>30</v>
      </c>
      <c r="C37" s="3" t="s">
        <v>221</v>
      </c>
      <c r="D37" s="3" t="s">
        <v>222</v>
      </c>
      <c r="E37" s="3" t="s">
        <v>114</v>
      </c>
      <c r="F37" s="7" t="s">
        <v>203</v>
      </c>
      <c r="G37" s="3" t="s">
        <v>22</v>
      </c>
      <c r="H37" s="3" t="s">
        <v>51</v>
      </c>
      <c r="I37" s="3"/>
      <c r="J37" s="8"/>
      <c r="K37" s="8"/>
      <c r="L37" s="8"/>
      <c r="M37" s="8"/>
    </row>
    <row r="38" customFormat="false" ht="74.6" hidden="false" customHeight="false" outlineLevel="0" collapsed="false">
      <c r="A38" s="3" t="s">
        <v>223</v>
      </c>
      <c r="B38" s="3" t="s">
        <v>30</v>
      </c>
      <c r="C38" s="3" t="s">
        <v>224</v>
      </c>
      <c r="D38" s="3" t="s">
        <v>225</v>
      </c>
      <c r="E38" s="3" t="s">
        <v>226</v>
      </c>
      <c r="F38" s="7" t="s">
        <v>227</v>
      </c>
      <c r="G38" s="3" t="s">
        <v>23</v>
      </c>
      <c r="H38" s="3" t="s">
        <v>57</v>
      </c>
      <c r="I38" s="3"/>
      <c r="J38" s="8"/>
      <c r="K38" s="8"/>
      <c r="L38" s="8"/>
      <c r="M38" s="8"/>
    </row>
    <row r="39" customFormat="false" ht="32.8" hidden="false" customHeight="false" outlineLevel="0" collapsed="false">
      <c r="A39" s="3" t="s">
        <v>228</v>
      </c>
      <c r="B39" s="3" t="s">
        <v>30</v>
      </c>
      <c r="C39" s="3" t="s">
        <v>229</v>
      </c>
      <c r="D39" s="3" t="s">
        <v>230</v>
      </c>
      <c r="E39" s="3" t="s">
        <v>231</v>
      </c>
      <c r="F39" s="7" t="s">
        <v>232</v>
      </c>
      <c r="G39" s="3" t="s">
        <v>23</v>
      </c>
      <c r="H39" s="3" t="s">
        <v>57</v>
      </c>
      <c r="I39" s="3"/>
      <c r="J39" s="8"/>
      <c r="K39" s="8"/>
      <c r="L39" s="8"/>
      <c r="M39" s="8"/>
    </row>
    <row r="40" customFormat="false" ht="23.85" hidden="false" customHeight="false" outlineLevel="0" collapsed="false">
      <c r="A40" s="3" t="s">
        <v>233</v>
      </c>
      <c r="B40" s="3" t="s">
        <v>30</v>
      </c>
      <c r="C40" s="3" t="s">
        <v>234</v>
      </c>
      <c r="D40" s="3" t="s">
        <v>235</v>
      </c>
      <c r="E40" s="3" t="s">
        <v>236</v>
      </c>
      <c r="F40" s="7" t="s">
        <v>237</v>
      </c>
      <c r="G40" s="3" t="s">
        <v>23</v>
      </c>
      <c r="H40" s="3" t="s">
        <v>57</v>
      </c>
      <c r="I40" s="3"/>
      <c r="J40" s="8"/>
      <c r="K40" s="8"/>
      <c r="L40" s="8"/>
      <c r="M40" s="8"/>
    </row>
    <row r="41" customFormat="false" ht="126.85" hidden="false" customHeight="false" outlineLevel="0" collapsed="false">
      <c r="A41" s="3" t="s">
        <v>238</v>
      </c>
      <c r="B41" s="3" t="s">
        <v>30</v>
      </c>
      <c r="C41" s="3" t="s">
        <v>239</v>
      </c>
      <c r="D41" s="3" t="s">
        <v>240</v>
      </c>
      <c r="E41" s="3" t="s">
        <v>241</v>
      </c>
      <c r="F41" s="7" t="s">
        <v>242</v>
      </c>
      <c r="G41" s="3" t="s">
        <v>23</v>
      </c>
      <c r="H41" s="3" t="s">
        <v>57</v>
      </c>
      <c r="I41" s="3"/>
      <c r="J41" s="8"/>
      <c r="K41" s="8"/>
      <c r="L41" s="8"/>
      <c r="M41" s="8"/>
    </row>
    <row r="42" customFormat="false" ht="35.05" hidden="false" customHeight="false" outlineLevel="0" collapsed="false">
      <c r="A42" s="3" t="s">
        <v>243</v>
      </c>
      <c r="B42" s="3" t="s">
        <v>30</v>
      </c>
      <c r="C42" s="3" t="s">
        <v>244</v>
      </c>
      <c r="D42" s="3" t="s">
        <v>245</v>
      </c>
      <c r="E42" s="3" t="s">
        <v>114</v>
      </c>
      <c r="F42" s="7" t="s">
        <v>143</v>
      </c>
      <c r="G42" s="3" t="s">
        <v>22</v>
      </c>
      <c r="H42" s="3" t="s">
        <v>51</v>
      </c>
      <c r="I42" s="3"/>
      <c r="J42" s="8"/>
      <c r="K42" s="8"/>
      <c r="L42" s="8"/>
      <c r="M42" s="8"/>
    </row>
    <row r="43" customFormat="false" ht="199.95" hidden="false" customHeight="false" outlineLevel="0" collapsed="false">
      <c r="A43" s="3" t="s">
        <v>246</v>
      </c>
      <c r="B43" s="3" t="s">
        <v>30</v>
      </c>
      <c r="C43" s="3" t="s">
        <v>247</v>
      </c>
      <c r="D43" s="3" t="s">
        <v>248</v>
      </c>
      <c r="E43" s="3" t="s">
        <v>249</v>
      </c>
      <c r="F43" s="7" t="s">
        <v>250</v>
      </c>
      <c r="G43" s="3" t="s">
        <v>23</v>
      </c>
      <c r="H43" s="3" t="s">
        <v>57</v>
      </c>
      <c r="I43" s="3"/>
      <c r="J43" s="8"/>
      <c r="K43" s="8"/>
      <c r="L43" s="8"/>
      <c r="M43" s="8"/>
    </row>
    <row r="44" customFormat="false" ht="35.05" hidden="false" customHeight="false" outlineLevel="0" collapsed="false">
      <c r="A44" s="3" t="s">
        <v>251</v>
      </c>
      <c r="B44" s="3" t="s">
        <v>30</v>
      </c>
      <c r="C44" s="3" t="s">
        <v>252</v>
      </c>
      <c r="D44" s="3" t="s">
        <v>253</v>
      </c>
      <c r="E44" s="3" t="s">
        <v>254</v>
      </c>
      <c r="F44" s="7" t="s">
        <v>255</v>
      </c>
      <c r="G44" s="3" t="s">
        <v>22</v>
      </c>
      <c r="H44" s="3" t="s">
        <v>51</v>
      </c>
      <c r="I44" s="3"/>
      <c r="J44" s="8"/>
      <c r="K44" s="8"/>
      <c r="L44" s="8"/>
      <c r="M44" s="8"/>
    </row>
    <row r="45" customFormat="false" ht="35.05" hidden="false" customHeight="false" outlineLevel="0" collapsed="false">
      <c r="A45" s="3" t="s">
        <v>256</v>
      </c>
      <c r="B45" s="3" t="s">
        <v>30</v>
      </c>
      <c r="C45" s="3" t="s">
        <v>257</v>
      </c>
      <c r="D45" s="3" t="s">
        <v>258</v>
      </c>
      <c r="E45" s="3" t="s">
        <v>114</v>
      </c>
      <c r="F45" s="7" t="s">
        <v>143</v>
      </c>
      <c r="G45" s="3" t="s">
        <v>22</v>
      </c>
      <c r="H45" s="3" t="s">
        <v>51</v>
      </c>
      <c r="I45" s="3"/>
      <c r="J45" s="8"/>
      <c r="K45" s="8"/>
      <c r="L45" s="8"/>
      <c r="M45" s="8"/>
    </row>
    <row r="46" customFormat="false" ht="315.65" hidden="false" customHeight="false" outlineLevel="0" collapsed="false">
      <c r="A46" s="3" t="s">
        <v>259</v>
      </c>
      <c r="B46" s="3" t="s">
        <v>30</v>
      </c>
      <c r="C46" s="3" t="s">
        <v>260</v>
      </c>
      <c r="D46" s="3" t="s">
        <v>261</v>
      </c>
      <c r="E46" s="3" t="s">
        <v>262</v>
      </c>
      <c r="F46" s="7" t="s">
        <v>263</v>
      </c>
      <c r="G46" s="3" t="s">
        <v>21</v>
      </c>
      <c r="H46" s="3" t="s">
        <v>63</v>
      </c>
      <c r="I46" s="3" t="s">
        <v>264</v>
      </c>
      <c r="J46" s="8"/>
      <c r="K46" s="8"/>
      <c r="L46" s="8"/>
      <c r="M46" s="8"/>
    </row>
    <row r="47" customFormat="false" ht="64.15" hidden="false" customHeight="false" outlineLevel="0" collapsed="false">
      <c r="A47" s="3" t="s">
        <v>265</v>
      </c>
      <c r="B47" s="3" t="s">
        <v>30</v>
      </c>
      <c r="C47" s="3" t="s">
        <v>266</v>
      </c>
      <c r="D47" s="3" t="s">
        <v>267</v>
      </c>
      <c r="E47" s="3" t="s">
        <v>268</v>
      </c>
      <c r="F47" s="7" t="s">
        <v>269</v>
      </c>
      <c r="G47" s="3" t="s">
        <v>23</v>
      </c>
      <c r="H47" s="3" t="s">
        <v>57</v>
      </c>
      <c r="I47" s="3"/>
      <c r="J47" s="8"/>
      <c r="K47" s="8"/>
      <c r="L47" s="8"/>
      <c r="M47" s="8"/>
    </row>
    <row r="48" customFormat="false" ht="126.85" hidden="false" customHeight="false" outlineLevel="0" collapsed="false">
      <c r="A48" s="3" t="s">
        <v>270</v>
      </c>
      <c r="B48" s="3" t="s">
        <v>30</v>
      </c>
      <c r="C48" s="3" t="s">
        <v>271</v>
      </c>
      <c r="D48" s="3" t="s">
        <v>272</v>
      </c>
      <c r="E48" s="3" t="s">
        <v>273</v>
      </c>
      <c r="F48" s="7" t="s">
        <v>274</v>
      </c>
      <c r="G48" s="3" t="s">
        <v>23</v>
      </c>
      <c r="H48" s="3" t="s">
        <v>57</v>
      </c>
      <c r="I48" s="3"/>
      <c r="J48" s="8"/>
      <c r="K48" s="8"/>
      <c r="L48" s="8"/>
      <c r="M48" s="8"/>
    </row>
    <row r="49" customFormat="false" ht="35.05" hidden="false" customHeight="false" outlineLevel="0" collapsed="false">
      <c r="A49" s="3" t="s">
        <v>275</v>
      </c>
      <c r="B49" s="3" t="s">
        <v>30</v>
      </c>
      <c r="C49" s="3" t="s">
        <v>276</v>
      </c>
      <c r="D49" s="3" t="s">
        <v>277</v>
      </c>
      <c r="E49" s="3" t="s">
        <v>114</v>
      </c>
      <c r="F49" s="7" t="s">
        <v>171</v>
      </c>
      <c r="G49" s="3" t="s">
        <v>22</v>
      </c>
      <c r="H49" s="3" t="s">
        <v>51</v>
      </c>
      <c r="I49" s="3"/>
      <c r="J49" s="8"/>
      <c r="K49" s="8"/>
      <c r="L49" s="8"/>
      <c r="M49" s="8"/>
    </row>
    <row r="50" customFormat="false" ht="35.05" hidden="false" customHeight="false" outlineLevel="0" collapsed="false">
      <c r="A50" s="3" t="s">
        <v>278</v>
      </c>
      <c r="B50" s="3" t="s">
        <v>30</v>
      </c>
      <c r="C50" s="3" t="s">
        <v>279</v>
      </c>
      <c r="D50" s="3" t="s">
        <v>280</v>
      </c>
      <c r="E50" s="3" t="s">
        <v>114</v>
      </c>
      <c r="F50" s="7" t="s">
        <v>157</v>
      </c>
      <c r="G50" s="3" t="s">
        <v>22</v>
      </c>
      <c r="H50" s="3" t="s">
        <v>51</v>
      </c>
      <c r="I50" s="3"/>
      <c r="J50" s="8"/>
      <c r="K50" s="8"/>
      <c r="L50" s="8"/>
      <c r="M50" s="8"/>
    </row>
    <row r="51" customFormat="false" ht="315.65" hidden="false" customHeight="false" outlineLevel="0" collapsed="false">
      <c r="A51" s="3" t="s">
        <v>281</v>
      </c>
      <c r="B51" s="3" t="s">
        <v>30</v>
      </c>
      <c r="C51" s="3" t="s">
        <v>282</v>
      </c>
      <c r="D51" s="3" t="s">
        <v>283</v>
      </c>
      <c r="E51" s="3" t="s">
        <v>262</v>
      </c>
      <c r="F51" s="7" t="s">
        <v>284</v>
      </c>
      <c r="G51" s="3" t="s">
        <v>21</v>
      </c>
      <c r="H51" s="3" t="s">
        <v>63</v>
      </c>
      <c r="I51" s="3" t="s">
        <v>264</v>
      </c>
      <c r="J51" s="8"/>
      <c r="K51" s="8"/>
      <c r="L51" s="8"/>
      <c r="M51" s="8"/>
    </row>
    <row r="52" customFormat="false" ht="22.35" hidden="false" customHeight="false" outlineLevel="0" collapsed="false">
      <c r="A52" s="3" t="s">
        <v>285</v>
      </c>
      <c r="B52" s="3" t="s">
        <v>30</v>
      </c>
      <c r="C52" s="3" t="s">
        <v>286</v>
      </c>
      <c r="D52" s="3" t="s">
        <v>287</v>
      </c>
      <c r="E52" s="3" t="s">
        <v>103</v>
      </c>
      <c r="F52" s="7" t="s">
        <v>288</v>
      </c>
      <c r="G52" s="3" t="s">
        <v>23</v>
      </c>
      <c r="H52" s="3" t="s">
        <v>57</v>
      </c>
      <c r="I52" s="3" t="s">
        <v>105</v>
      </c>
      <c r="J52" s="8"/>
      <c r="K52" s="8"/>
      <c r="L52" s="8"/>
      <c r="M52" s="8"/>
    </row>
    <row r="53" customFormat="false" ht="35.05" hidden="false" customHeight="false" outlineLevel="0" collapsed="false">
      <c r="A53" s="3" t="s">
        <v>289</v>
      </c>
      <c r="B53" s="3" t="s">
        <v>30</v>
      </c>
      <c r="C53" s="3" t="s">
        <v>290</v>
      </c>
      <c r="D53" s="3" t="s">
        <v>291</v>
      </c>
      <c r="E53" s="3" t="s">
        <v>114</v>
      </c>
      <c r="F53" s="7" t="s">
        <v>157</v>
      </c>
      <c r="G53" s="3" t="s">
        <v>22</v>
      </c>
      <c r="H53" s="3" t="s">
        <v>51</v>
      </c>
      <c r="I53" s="3"/>
      <c r="J53" s="8"/>
      <c r="K53" s="8"/>
      <c r="L53" s="8"/>
      <c r="M53" s="8"/>
    </row>
    <row r="54" customFormat="false" ht="168.65" hidden="false" customHeight="false" outlineLevel="0" collapsed="false">
      <c r="A54" s="3" t="s">
        <v>292</v>
      </c>
      <c r="B54" s="3" t="s">
        <v>30</v>
      </c>
      <c r="C54" s="3" t="s">
        <v>293</v>
      </c>
      <c r="D54" s="3" t="s">
        <v>294</v>
      </c>
      <c r="E54" s="3" t="s">
        <v>273</v>
      </c>
      <c r="F54" s="7" t="s">
        <v>295</v>
      </c>
      <c r="G54" s="3" t="s">
        <v>22</v>
      </c>
      <c r="H54" s="3" t="s">
        <v>51</v>
      </c>
      <c r="I54" s="3"/>
      <c r="J54" s="8"/>
      <c r="K54" s="8"/>
      <c r="L54" s="8"/>
      <c r="M54" s="8"/>
    </row>
    <row r="55" customFormat="false" ht="179.1" hidden="false" customHeight="false" outlineLevel="0" collapsed="false">
      <c r="A55" s="3" t="s">
        <v>296</v>
      </c>
      <c r="B55" s="3" t="s">
        <v>30</v>
      </c>
      <c r="C55" s="3" t="s">
        <v>297</v>
      </c>
      <c r="D55" s="3" t="s">
        <v>298</v>
      </c>
      <c r="E55" s="3" t="s">
        <v>299</v>
      </c>
      <c r="F55" s="7" t="s">
        <v>300</v>
      </c>
      <c r="G55" s="3" t="s">
        <v>23</v>
      </c>
      <c r="H55" s="3" t="s">
        <v>121</v>
      </c>
      <c r="I55" s="3"/>
      <c r="J55" s="8"/>
      <c r="K55" s="8"/>
      <c r="L55" s="8"/>
      <c r="M55" s="8"/>
    </row>
    <row r="56" customFormat="false" ht="57.45" hidden="false" customHeight="false" outlineLevel="0" collapsed="false">
      <c r="A56" s="3" t="s">
        <v>301</v>
      </c>
      <c r="B56" s="3" t="s">
        <v>30</v>
      </c>
      <c r="C56" s="3" t="s">
        <v>302</v>
      </c>
      <c r="D56" s="3" t="s">
        <v>303</v>
      </c>
      <c r="E56" s="3" t="s">
        <v>125</v>
      </c>
      <c r="F56" s="7" t="s">
        <v>126</v>
      </c>
      <c r="G56" s="3" t="s">
        <v>21</v>
      </c>
      <c r="H56" s="3" t="s">
        <v>127</v>
      </c>
      <c r="I56" s="3"/>
      <c r="J56" s="8"/>
      <c r="K56" s="8"/>
      <c r="L56" s="8"/>
      <c r="M56" s="8"/>
    </row>
    <row r="57" customFormat="false" ht="284.3" hidden="false" customHeight="false" outlineLevel="0" collapsed="false">
      <c r="A57" s="3" t="s">
        <v>304</v>
      </c>
      <c r="B57" s="3" t="s">
        <v>30</v>
      </c>
      <c r="C57" s="3" t="s">
        <v>305</v>
      </c>
      <c r="D57" s="3" t="s">
        <v>306</v>
      </c>
      <c r="E57" s="3" t="s">
        <v>131</v>
      </c>
      <c r="F57" s="7" t="s">
        <v>307</v>
      </c>
      <c r="G57" s="3" t="s">
        <v>23</v>
      </c>
      <c r="H57" s="3" t="s">
        <v>139</v>
      </c>
      <c r="I57" s="3" t="s">
        <v>105</v>
      </c>
      <c r="J57" s="8"/>
      <c r="K57" s="8"/>
      <c r="L57" s="8"/>
      <c r="M57" s="8"/>
    </row>
    <row r="58" customFormat="false" ht="35.05" hidden="false" customHeight="false" outlineLevel="0" collapsed="false">
      <c r="A58" s="3" t="s">
        <v>308</v>
      </c>
      <c r="B58" s="3" t="s">
        <v>30</v>
      </c>
      <c r="C58" s="3" t="s">
        <v>309</v>
      </c>
      <c r="D58" s="3" t="s">
        <v>310</v>
      </c>
      <c r="E58" s="3" t="s">
        <v>114</v>
      </c>
      <c r="F58" s="7" t="s">
        <v>143</v>
      </c>
      <c r="G58" s="3" t="s">
        <v>22</v>
      </c>
      <c r="H58" s="3" t="s">
        <v>51</v>
      </c>
      <c r="I58" s="3"/>
      <c r="J58" s="8"/>
      <c r="K58" s="8"/>
      <c r="L58" s="8"/>
      <c r="M58" s="8"/>
    </row>
    <row r="59" customFormat="false" ht="53.7" hidden="false" customHeight="false" outlineLevel="0" collapsed="false">
      <c r="A59" s="3" t="s">
        <v>311</v>
      </c>
      <c r="B59" s="3" t="s">
        <v>31</v>
      </c>
      <c r="C59" s="3" t="s">
        <v>312</v>
      </c>
      <c r="D59" s="3" t="s">
        <v>313</v>
      </c>
      <c r="E59" s="3" t="s">
        <v>314</v>
      </c>
      <c r="F59" s="7" t="s">
        <v>315</v>
      </c>
      <c r="G59" s="3" t="s">
        <v>21</v>
      </c>
      <c r="H59" s="3" t="s">
        <v>316</v>
      </c>
      <c r="I59" s="3"/>
      <c r="J59" s="8"/>
      <c r="K59" s="8"/>
      <c r="L59" s="8"/>
      <c r="M59" s="8"/>
    </row>
    <row r="60" customFormat="false" ht="22.35" hidden="false" customHeight="false" outlineLevel="0" collapsed="false">
      <c r="A60" s="3" t="s">
        <v>317</v>
      </c>
      <c r="B60" s="3" t="s">
        <v>31</v>
      </c>
      <c r="C60" s="3" t="s">
        <v>318</v>
      </c>
      <c r="D60" s="3" t="s">
        <v>319</v>
      </c>
      <c r="E60" s="3" t="s">
        <v>320</v>
      </c>
      <c r="F60" s="7" t="s">
        <v>321</v>
      </c>
      <c r="G60" s="3" t="s">
        <v>21</v>
      </c>
      <c r="H60" s="3" t="s">
        <v>316</v>
      </c>
      <c r="I60" s="3"/>
      <c r="J60" s="8"/>
      <c r="K60" s="8"/>
      <c r="L60" s="8"/>
      <c r="M60" s="8"/>
    </row>
    <row r="61" customFormat="false" ht="74.6" hidden="false" customHeight="false" outlineLevel="0" collapsed="false">
      <c r="A61" s="3" t="s">
        <v>322</v>
      </c>
      <c r="B61" s="3" t="s">
        <v>31</v>
      </c>
      <c r="C61" s="3" t="s">
        <v>323</v>
      </c>
      <c r="D61" s="3" t="s">
        <v>324</v>
      </c>
      <c r="E61" s="3" t="s">
        <v>325</v>
      </c>
      <c r="F61" s="7" t="s">
        <v>326</v>
      </c>
      <c r="G61" s="3" t="s">
        <v>21</v>
      </c>
      <c r="H61" s="3" t="s">
        <v>316</v>
      </c>
      <c r="I61" s="3"/>
      <c r="J61" s="8"/>
      <c r="K61" s="8"/>
      <c r="L61" s="8"/>
      <c r="M61" s="8"/>
    </row>
    <row r="62" customFormat="false" ht="53.7" hidden="false" customHeight="false" outlineLevel="0" collapsed="false">
      <c r="A62" s="3" t="s">
        <v>327</v>
      </c>
      <c r="B62" s="3" t="s">
        <v>31</v>
      </c>
      <c r="C62" s="3" t="s">
        <v>328</v>
      </c>
      <c r="D62" s="3" t="s">
        <v>329</v>
      </c>
      <c r="E62" s="3" t="s">
        <v>330</v>
      </c>
      <c r="F62" s="7" t="s">
        <v>331</v>
      </c>
      <c r="G62" s="3" t="s">
        <v>21</v>
      </c>
      <c r="H62" s="3" t="s">
        <v>316</v>
      </c>
      <c r="I62" s="3"/>
      <c r="J62" s="8"/>
      <c r="K62" s="8"/>
      <c r="L62" s="8"/>
      <c r="M62" s="8"/>
    </row>
    <row r="63" customFormat="false" ht="74.6" hidden="false" customHeight="false" outlineLevel="0" collapsed="false">
      <c r="A63" s="3" t="s">
        <v>332</v>
      </c>
      <c r="B63" s="3" t="s">
        <v>31</v>
      </c>
      <c r="C63" s="3" t="s">
        <v>333</v>
      </c>
      <c r="D63" s="3" t="s">
        <v>334</v>
      </c>
      <c r="E63" s="3" t="s">
        <v>335</v>
      </c>
      <c r="F63" s="7" t="s">
        <v>336</v>
      </c>
      <c r="G63" s="3" t="s">
        <v>21</v>
      </c>
      <c r="H63" s="3" t="s">
        <v>316</v>
      </c>
      <c r="I63" s="3"/>
      <c r="J63" s="8"/>
      <c r="K63" s="8"/>
      <c r="L63" s="8"/>
      <c r="M63" s="8"/>
    </row>
    <row r="64" customFormat="false" ht="22.35" hidden="false" customHeight="false" outlineLevel="0" collapsed="false">
      <c r="A64" s="3" t="s">
        <v>337</v>
      </c>
      <c r="B64" s="3" t="s">
        <v>31</v>
      </c>
      <c r="C64" s="3" t="s">
        <v>338</v>
      </c>
      <c r="D64" s="3" t="s">
        <v>339</v>
      </c>
      <c r="E64" s="3" t="s">
        <v>340</v>
      </c>
      <c r="F64" s="7" t="s">
        <v>341</v>
      </c>
      <c r="G64" s="3" t="s">
        <v>21</v>
      </c>
      <c r="H64" s="3" t="s">
        <v>316</v>
      </c>
      <c r="I64" s="3"/>
      <c r="J64" s="8"/>
      <c r="K64" s="8"/>
      <c r="L64" s="8"/>
      <c r="M64" s="8"/>
    </row>
    <row r="65" customFormat="false" ht="74.6" hidden="false" customHeight="false" outlineLevel="0" collapsed="false">
      <c r="A65" s="3" t="s">
        <v>342</v>
      </c>
      <c r="B65" s="3" t="s">
        <v>31</v>
      </c>
      <c r="C65" s="3" t="s">
        <v>343</v>
      </c>
      <c r="D65" s="3" t="s">
        <v>344</v>
      </c>
      <c r="E65" s="3" t="s">
        <v>345</v>
      </c>
      <c r="F65" s="7" t="s">
        <v>346</v>
      </c>
      <c r="G65" s="3" t="s">
        <v>21</v>
      </c>
      <c r="H65" s="3" t="s">
        <v>316</v>
      </c>
      <c r="I65" s="3"/>
      <c r="J65" s="8"/>
      <c r="K65" s="8"/>
      <c r="L65" s="8"/>
      <c r="M65" s="8"/>
    </row>
    <row r="66" customFormat="false" ht="137.3" hidden="false" customHeight="false" outlineLevel="0" collapsed="false">
      <c r="A66" s="3" t="s">
        <v>347</v>
      </c>
      <c r="B66" s="3" t="s">
        <v>31</v>
      </c>
      <c r="C66" s="3" t="s">
        <v>348</v>
      </c>
      <c r="D66" s="3" t="s">
        <v>349</v>
      </c>
      <c r="E66" s="3" t="s">
        <v>350</v>
      </c>
      <c r="F66" s="7" t="s">
        <v>351</v>
      </c>
      <c r="G66" s="3" t="s">
        <v>23</v>
      </c>
      <c r="H66" s="3" t="s">
        <v>57</v>
      </c>
      <c r="I66" s="3"/>
      <c r="J66" s="8"/>
      <c r="K66" s="8"/>
      <c r="L66" s="8"/>
      <c r="M66" s="8"/>
    </row>
    <row r="67" customFormat="false" ht="35.05" hidden="false" customHeight="false" outlineLevel="0" collapsed="false">
      <c r="A67" s="3" t="s">
        <v>352</v>
      </c>
      <c r="B67" s="3" t="s">
        <v>31</v>
      </c>
      <c r="C67" s="3" t="s">
        <v>353</v>
      </c>
      <c r="D67" s="3" t="s">
        <v>354</v>
      </c>
      <c r="E67" s="3" t="s">
        <v>114</v>
      </c>
      <c r="F67" s="7" t="s">
        <v>157</v>
      </c>
      <c r="G67" s="3" t="s">
        <v>22</v>
      </c>
      <c r="H67" s="3" t="s">
        <v>51</v>
      </c>
      <c r="I67" s="3"/>
      <c r="J67" s="8"/>
      <c r="K67" s="8"/>
      <c r="L67" s="8"/>
      <c r="M67" s="8"/>
    </row>
    <row r="68" customFormat="false" ht="43.25" hidden="false" customHeight="false" outlineLevel="0" collapsed="false">
      <c r="A68" s="3" t="s">
        <v>355</v>
      </c>
      <c r="B68" s="3" t="s">
        <v>31</v>
      </c>
      <c r="C68" s="3" t="s">
        <v>356</v>
      </c>
      <c r="D68" s="3" t="s">
        <v>357</v>
      </c>
      <c r="E68" s="3" t="s">
        <v>358</v>
      </c>
      <c r="F68" s="7" t="s">
        <v>359</v>
      </c>
      <c r="G68" s="3" t="s">
        <v>21</v>
      </c>
      <c r="H68" s="3" t="s">
        <v>63</v>
      </c>
      <c r="I68" s="3"/>
      <c r="J68" s="8"/>
      <c r="K68" s="8"/>
      <c r="L68" s="8"/>
      <c r="M68" s="8"/>
    </row>
    <row r="69" customFormat="false" ht="85.05" hidden="false" customHeight="false" outlineLevel="0" collapsed="false">
      <c r="A69" s="3" t="s">
        <v>360</v>
      </c>
      <c r="B69" s="3" t="s">
        <v>31</v>
      </c>
      <c r="C69" s="3" t="s">
        <v>361</v>
      </c>
      <c r="D69" s="3" t="s">
        <v>362</v>
      </c>
      <c r="E69" s="3" t="s">
        <v>363</v>
      </c>
      <c r="F69" s="7" t="s">
        <v>364</v>
      </c>
      <c r="G69" s="3" t="s">
        <v>23</v>
      </c>
      <c r="H69" s="3" t="s">
        <v>57</v>
      </c>
      <c r="I69" s="3" t="s">
        <v>105</v>
      </c>
      <c r="J69" s="8"/>
      <c r="K69" s="8"/>
      <c r="L69" s="8"/>
      <c r="M69" s="8"/>
    </row>
    <row r="70" customFormat="false" ht="35.05" hidden="false" customHeight="false" outlineLevel="0" collapsed="false">
      <c r="A70" s="3" t="s">
        <v>365</v>
      </c>
      <c r="B70" s="3" t="s">
        <v>31</v>
      </c>
      <c r="C70" s="3" t="s">
        <v>366</v>
      </c>
      <c r="D70" s="3" t="s">
        <v>367</v>
      </c>
      <c r="E70" s="3" t="s">
        <v>114</v>
      </c>
      <c r="F70" s="7" t="s">
        <v>157</v>
      </c>
      <c r="G70" s="3" t="s">
        <v>22</v>
      </c>
      <c r="H70" s="3" t="s">
        <v>51</v>
      </c>
      <c r="I70" s="3"/>
      <c r="J70" s="8"/>
      <c r="K70" s="8"/>
      <c r="L70" s="8"/>
      <c r="M70" s="8"/>
    </row>
    <row r="71" customFormat="false" ht="220.85" hidden="false" customHeight="false" outlineLevel="0" collapsed="false">
      <c r="A71" s="3" t="s">
        <v>368</v>
      </c>
      <c r="B71" s="3" t="s">
        <v>31</v>
      </c>
      <c r="C71" s="3" t="s">
        <v>369</v>
      </c>
      <c r="D71" s="3" t="s">
        <v>370</v>
      </c>
      <c r="E71" s="3" t="s">
        <v>371</v>
      </c>
      <c r="F71" s="7" t="s">
        <v>372</v>
      </c>
      <c r="G71" s="3" t="s">
        <v>21</v>
      </c>
      <c r="H71" s="3" t="s">
        <v>63</v>
      </c>
      <c r="I71" s="3"/>
      <c r="J71" s="8"/>
      <c r="K71" s="8"/>
      <c r="L71" s="8"/>
      <c r="M71" s="8"/>
    </row>
    <row r="72" customFormat="false" ht="43.25" hidden="false" customHeight="false" outlineLevel="0" collapsed="false">
      <c r="A72" s="3" t="s">
        <v>373</v>
      </c>
      <c r="B72" s="3" t="s">
        <v>31</v>
      </c>
      <c r="C72" s="3" t="s">
        <v>374</v>
      </c>
      <c r="D72" s="3" t="s">
        <v>375</v>
      </c>
      <c r="E72" s="3" t="s">
        <v>376</v>
      </c>
      <c r="F72" s="7" t="s">
        <v>377</v>
      </c>
      <c r="G72" s="3" t="s">
        <v>21</v>
      </c>
      <c r="H72" s="3" t="s">
        <v>63</v>
      </c>
      <c r="I72" s="3"/>
      <c r="J72" s="8"/>
      <c r="K72" s="8"/>
      <c r="L72" s="8"/>
      <c r="M72" s="8"/>
    </row>
    <row r="73" customFormat="false" ht="158.2" hidden="false" customHeight="false" outlineLevel="0" collapsed="false">
      <c r="A73" s="3" t="s">
        <v>378</v>
      </c>
      <c r="B73" s="3" t="s">
        <v>31</v>
      </c>
      <c r="C73" s="3" t="s">
        <v>379</v>
      </c>
      <c r="D73" s="3" t="s">
        <v>380</v>
      </c>
      <c r="E73" s="3" t="s">
        <v>381</v>
      </c>
      <c r="F73" s="7" t="s">
        <v>382</v>
      </c>
      <c r="G73" s="3" t="s">
        <v>23</v>
      </c>
      <c r="H73" s="3" t="s">
        <v>57</v>
      </c>
      <c r="I73" s="3"/>
      <c r="J73" s="8"/>
      <c r="K73" s="8"/>
      <c r="L73" s="8"/>
      <c r="M73" s="8"/>
    </row>
    <row r="74" customFormat="false" ht="35.05" hidden="false" customHeight="false" outlineLevel="0" collapsed="false">
      <c r="A74" s="3" t="s">
        <v>383</v>
      </c>
      <c r="B74" s="3" t="s">
        <v>31</v>
      </c>
      <c r="C74" s="3" t="s">
        <v>384</v>
      </c>
      <c r="D74" s="3" t="s">
        <v>385</v>
      </c>
      <c r="E74" s="3" t="s">
        <v>114</v>
      </c>
      <c r="F74" s="7" t="s">
        <v>157</v>
      </c>
      <c r="G74" s="3" t="s">
        <v>22</v>
      </c>
      <c r="H74" s="3" t="s">
        <v>51</v>
      </c>
      <c r="I74" s="3"/>
      <c r="J74" s="8"/>
      <c r="K74" s="8"/>
      <c r="L74" s="8"/>
      <c r="M74" s="8"/>
    </row>
    <row r="75" customFormat="false" ht="315.65" hidden="false" customHeight="false" outlineLevel="0" collapsed="false">
      <c r="A75" s="3" t="s">
        <v>386</v>
      </c>
      <c r="B75" s="3" t="s">
        <v>31</v>
      </c>
      <c r="C75" s="3" t="s">
        <v>387</v>
      </c>
      <c r="D75" s="3" t="s">
        <v>388</v>
      </c>
      <c r="E75" s="3" t="s">
        <v>389</v>
      </c>
      <c r="F75" s="7" t="s">
        <v>390</v>
      </c>
      <c r="G75" s="3" t="s">
        <v>21</v>
      </c>
      <c r="H75" s="3" t="s">
        <v>391</v>
      </c>
      <c r="I75" s="3" t="s">
        <v>392</v>
      </c>
      <c r="J75" s="8"/>
      <c r="K75" s="8"/>
      <c r="L75" s="8"/>
      <c r="M75" s="8"/>
    </row>
    <row r="76" customFormat="false" ht="95.5" hidden="false" customHeight="false" outlineLevel="0" collapsed="false">
      <c r="A76" s="3" t="s">
        <v>393</v>
      </c>
      <c r="B76" s="3" t="s">
        <v>31</v>
      </c>
      <c r="C76" s="3" t="s">
        <v>394</v>
      </c>
      <c r="D76" s="3" t="s">
        <v>395</v>
      </c>
      <c r="E76" s="3" t="s">
        <v>396</v>
      </c>
      <c r="F76" s="7" t="s">
        <v>397</v>
      </c>
      <c r="G76" s="3" t="s">
        <v>23</v>
      </c>
      <c r="H76" s="3" t="s">
        <v>57</v>
      </c>
      <c r="I76" s="3"/>
      <c r="J76" s="8"/>
      <c r="K76" s="8"/>
      <c r="L76" s="8"/>
      <c r="M76" s="8"/>
    </row>
    <row r="77" customFormat="false" ht="35.05" hidden="false" customHeight="false" outlineLevel="0" collapsed="false">
      <c r="A77" s="3" t="s">
        <v>398</v>
      </c>
      <c r="B77" s="3" t="s">
        <v>31</v>
      </c>
      <c r="C77" s="3" t="s">
        <v>399</v>
      </c>
      <c r="D77" s="3" t="s">
        <v>400</v>
      </c>
      <c r="E77" s="3" t="s">
        <v>114</v>
      </c>
      <c r="F77" s="7" t="s">
        <v>115</v>
      </c>
      <c r="G77" s="3" t="s">
        <v>22</v>
      </c>
      <c r="H77" s="3" t="s">
        <v>51</v>
      </c>
      <c r="I77" s="3"/>
      <c r="J77" s="8"/>
      <c r="K77" s="8"/>
      <c r="L77" s="8"/>
      <c r="M77" s="8"/>
    </row>
    <row r="78" customFormat="false" ht="95.5" hidden="false" customHeight="false" outlineLevel="0" collapsed="false">
      <c r="A78" s="3" t="s">
        <v>401</v>
      </c>
      <c r="B78" s="3" t="s">
        <v>31</v>
      </c>
      <c r="C78" s="3" t="s">
        <v>402</v>
      </c>
      <c r="D78" s="3" t="s">
        <v>403</v>
      </c>
      <c r="E78" s="3" t="s">
        <v>404</v>
      </c>
      <c r="F78" s="7" t="s">
        <v>405</v>
      </c>
      <c r="G78" s="3" t="s">
        <v>23</v>
      </c>
      <c r="H78" s="3" t="s">
        <v>57</v>
      </c>
      <c r="I78" s="3"/>
      <c r="J78" s="8"/>
      <c r="K78" s="8"/>
      <c r="L78" s="8"/>
      <c r="M78" s="8"/>
    </row>
    <row r="79" customFormat="false" ht="35.05" hidden="false" customHeight="false" outlineLevel="0" collapsed="false">
      <c r="A79" s="3" t="s">
        <v>406</v>
      </c>
      <c r="B79" s="3" t="s">
        <v>31</v>
      </c>
      <c r="C79" s="3" t="s">
        <v>407</v>
      </c>
      <c r="D79" s="3" t="s">
        <v>135</v>
      </c>
      <c r="E79" s="3" t="s">
        <v>114</v>
      </c>
      <c r="F79" s="7" t="s">
        <v>115</v>
      </c>
      <c r="G79" s="3" t="s">
        <v>22</v>
      </c>
      <c r="H79" s="3" t="s">
        <v>51</v>
      </c>
      <c r="I79" s="3"/>
      <c r="J79" s="8"/>
      <c r="K79" s="8"/>
      <c r="L79" s="8"/>
      <c r="M79" s="8"/>
    </row>
    <row r="80" customFormat="false" ht="105.95" hidden="false" customHeight="false" outlineLevel="0" collapsed="false">
      <c r="A80" s="3" t="s">
        <v>408</v>
      </c>
      <c r="B80" s="3" t="s">
        <v>31</v>
      </c>
      <c r="C80" s="3" t="s">
        <v>409</v>
      </c>
      <c r="D80" s="3" t="s">
        <v>410</v>
      </c>
      <c r="E80" s="3" t="s">
        <v>411</v>
      </c>
      <c r="F80" s="7" t="s">
        <v>412</v>
      </c>
      <c r="G80" s="3" t="s">
        <v>23</v>
      </c>
      <c r="H80" s="3" t="s">
        <v>57</v>
      </c>
      <c r="I80" s="3"/>
      <c r="J80" s="8"/>
      <c r="K80" s="8"/>
      <c r="L80" s="8"/>
      <c r="M80" s="8"/>
    </row>
    <row r="81" customFormat="false" ht="35.05" hidden="false" customHeight="false" outlineLevel="0" collapsed="false">
      <c r="A81" s="3" t="s">
        <v>413</v>
      </c>
      <c r="B81" s="3" t="s">
        <v>31</v>
      </c>
      <c r="C81" s="3" t="s">
        <v>414</v>
      </c>
      <c r="D81" s="3" t="s">
        <v>415</v>
      </c>
      <c r="E81" s="3" t="s">
        <v>114</v>
      </c>
      <c r="F81" s="7" t="s">
        <v>115</v>
      </c>
      <c r="G81" s="3" t="s">
        <v>22</v>
      </c>
      <c r="H81" s="3" t="s">
        <v>51</v>
      </c>
      <c r="I81" s="3"/>
      <c r="J81" s="8"/>
      <c r="K81" s="8"/>
      <c r="L81" s="8"/>
      <c r="M81" s="8"/>
    </row>
    <row r="82" customFormat="false" ht="85.05" hidden="false" customHeight="false" outlineLevel="0" collapsed="false">
      <c r="A82" s="3" t="s">
        <v>416</v>
      </c>
      <c r="B82" s="3" t="s">
        <v>31</v>
      </c>
      <c r="C82" s="3" t="s">
        <v>417</v>
      </c>
      <c r="D82" s="3" t="s">
        <v>418</v>
      </c>
      <c r="E82" s="3" t="s">
        <v>419</v>
      </c>
      <c r="F82" s="7" t="s">
        <v>420</v>
      </c>
      <c r="G82" s="3" t="s">
        <v>23</v>
      </c>
      <c r="H82" s="3" t="s">
        <v>57</v>
      </c>
      <c r="I82" s="3"/>
      <c r="J82" s="8"/>
      <c r="K82" s="8"/>
      <c r="L82" s="8"/>
      <c r="M82" s="8"/>
    </row>
    <row r="83" customFormat="false" ht="35.05" hidden="false" customHeight="false" outlineLevel="0" collapsed="false">
      <c r="A83" s="3" t="s">
        <v>421</v>
      </c>
      <c r="B83" s="3" t="s">
        <v>31</v>
      </c>
      <c r="C83" s="3" t="s">
        <v>422</v>
      </c>
      <c r="D83" s="3" t="s">
        <v>423</v>
      </c>
      <c r="E83" s="3" t="s">
        <v>114</v>
      </c>
      <c r="F83" s="7" t="s">
        <v>157</v>
      </c>
      <c r="G83" s="3" t="s">
        <v>22</v>
      </c>
      <c r="H83" s="3" t="s">
        <v>51</v>
      </c>
      <c r="I83" s="3"/>
      <c r="J83" s="8"/>
      <c r="K83" s="8"/>
      <c r="L83" s="8"/>
      <c r="M83" s="8"/>
    </row>
    <row r="84" customFormat="false" ht="315.65" hidden="false" customHeight="false" outlineLevel="0" collapsed="false">
      <c r="A84" s="3" t="s">
        <v>424</v>
      </c>
      <c r="B84" s="3" t="s">
        <v>31</v>
      </c>
      <c r="C84" s="3" t="s">
        <v>425</v>
      </c>
      <c r="D84" s="3" t="s">
        <v>426</v>
      </c>
      <c r="E84" s="3" t="s">
        <v>427</v>
      </c>
      <c r="F84" s="7" t="s">
        <v>428</v>
      </c>
      <c r="G84" s="3" t="s">
        <v>21</v>
      </c>
      <c r="H84" s="3" t="s">
        <v>63</v>
      </c>
      <c r="I84" s="3" t="s">
        <v>392</v>
      </c>
      <c r="J84" s="8"/>
      <c r="K84" s="8"/>
      <c r="L84" s="8"/>
      <c r="M84" s="8"/>
    </row>
    <row r="85" customFormat="false" ht="210.4" hidden="false" customHeight="false" outlineLevel="0" collapsed="false">
      <c r="A85" s="3" t="s">
        <v>429</v>
      </c>
      <c r="B85" s="3" t="s">
        <v>31</v>
      </c>
      <c r="C85" s="3" t="s">
        <v>430</v>
      </c>
      <c r="D85" s="3" t="s">
        <v>431</v>
      </c>
      <c r="E85" s="3" t="s">
        <v>432</v>
      </c>
      <c r="F85" s="7" t="s">
        <v>433</v>
      </c>
      <c r="G85" s="3" t="s">
        <v>21</v>
      </c>
      <c r="H85" s="3" t="s">
        <v>63</v>
      </c>
      <c r="I85" s="3"/>
      <c r="J85" s="8"/>
      <c r="K85" s="8"/>
      <c r="L85" s="8"/>
      <c r="M85" s="8"/>
    </row>
    <row r="86" customFormat="false" ht="137.3" hidden="false" customHeight="false" outlineLevel="0" collapsed="false">
      <c r="A86" s="3" t="s">
        <v>434</v>
      </c>
      <c r="B86" s="3" t="s">
        <v>31</v>
      </c>
      <c r="C86" s="3" t="s">
        <v>435</v>
      </c>
      <c r="D86" s="3" t="s">
        <v>436</v>
      </c>
      <c r="E86" s="3" t="s">
        <v>437</v>
      </c>
      <c r="F86" s="7" t="s">
        <v>438</v>
      </c>
      <c r="G86" s="3" t="s">
        <v>21</v>
      </c>
      <c r="H86" s="3" t="s">
        <v>63</v>
      </c>
      <c r="I86" s="3"/>
      <c r="J86" s="8"/>
      <c r="K86" s="8"/>
      <c r="L86" s="8"/>
      <c r="M86" s="8"/>
    </row>
    <row r="87" customFormat="false" ht="252.95" hidden="false" customHeight="false" outlineLevel="0" collapsed="false">
      <c r="A87" s="3" t="s">
        <v>439</v>
      </c>
      <c r="B87" s="3" t="s">
        <v>31</v>
      </c>
      <c r="C87" s="3" t="s">
        <v>440</v>
      </c>
      <c r="D87" s="3" t="s">
        <v>441</v>
      </c>
      <c r="E87" s="3" t="s">
        <v>442</v>
      </c>
      <c r="F87" s="7" t="s">
        <v>443</v>
      </c>
      <c r="G87" s="3" t="s">
        <v>21</v>
      </c>
      <c r="H87" s="3" t="s">
        <v>63</v>
      </c>
      <c r="I87" s="3"/>
      <c r="J87" s="8"/>
      <c r="K87" s="8"/>
      <c r="L87" s="8"/>
      <c r="M87" s="8"/>
    </row>
    <row r="88" customFormat="false" ht="315.65" hidden="false" customHeight="false" outlineLevel="0" collapsed="false">
      <c r="A88" s="3" t="s">
        <v>444</v>
      </c>
      <c r="B88" s="3" t="s">
        <v>31</v>
      </c>
      <c r="C88" s="3" t="s">
        <v>445</v>
      </c>
      <c r="D88" s="3" t="s">
        <v>446</v>
      </c>
      <c r="E88" s="3" t="s">
        <v>447</v>
      </c>
      <c r="F88" s="7" t="s">
        <v>448</v>
      </c>
      <c r="G88" s="3" t="s">
        <v>21</v>
      </c>
      <c r="H88" s="3" t="s">
        <v>63</v>
      </c>
      <c r="I88" s="3" t="s">
        <v>392</v>
      </c>
      <c r="J88" s="8"/>
      <c r="K88" s="8"/>
      <c r="L88" s="8"/>
      <c r="M88" s="8"/>
    </row>
    <row r="89" customFormat="false" ht="43.25" hidden="false" customHeight="false" outlineLevel="0" collapsed="false">
      <c r="A89" s="3" t="s">
        <v>449</v>
      </c>
      <c r="B89" s="3" t="s">
        <v>32</v>
      </c>
      <c r="C89" s="3" t="s">
        <v>450</v>
      </c>
      <c r="D89" s="3" t="s">
        <v>451</v>
      </c>
      <c r="E89" s="3" t="s">
        <v>314</v>
      </c>
      <c r="F89" s="7" t="s">
        <v>452</v>
      </c>
      <c r="G89" s="3" t="s">
        <v>21</v>
      </c>
      <c r="H89" s="3" t="s">
        <v>316</v>
      </c>
      <c r="I89" s="3"/>
      <c r="J89" s="8"/>
      <c r="K89" s="8"/>
      <c r="L89" s="8"/>
      <c r="M89" s="8"/>
    </row>
    <row r="90" customFormat="false" ht="22.35" hidden="false" customHeight="false" outlineLevel="0" collapsed="false">
      <c r="A90" s="3" t="s">
        <v>453</v>
      </c>
      <c r="B90" s="3" t="s">
        <v>32</v>
      </c>
      <c r="C90" s="3" t="s">
        <v>454</v>
      </c>
      <c r="D90" s="3" t="s">
        <v>455</v>
      </c>
      <c r="E90" s="3" t="s">
        <v>320</v>
      </c>
      <c r="F90" s="7" t="s">
        <v>321</v>
      </c>
      <c r="G90" s="3" t="s">
        <v>21</v>
      </c>
      <c r="H90" s="3" t="s">
        <v>316</v>
      </c>
      <c r="I90" s="3"/>
      <c r="J90" s="8"/>
      <c r="K90" s="8"/>
      <c r="L90" s="8"/>
      <c r="M90" s="8"/>
    </row>
    <row r="91" customFormat="false" ht="74.6" hidden="false" customHeight="false" outlineLevel="0" collapsed="false">
      <c r="A91" s="3" t="s">
        <v>456</v>
      </c>
      <c r="B91" s="3" t="s">
        <v>32</v>
      </c>
      <c r="C91" s="3" t="s">
        <v>457</v>
      </c>
      <c r="D91" s="3" t="s">
        <v>458</v>
      </c>
      <c r="E91" s="3" t="s">
        <v>325</v>
      </c>
      <c r="F91" s="7" t="s">
        <v>326</v>
      </c>
      <c r="G91" s="3" t="s">
        <v>21</v>
      </c>
      <c r="H91" s="3" t="s">
        <v>316</v>
      </c>
      <c r="I91" s="3"/>
      <c r="J91" s="8"/>
      <c r="K91" s="8"/>
      <c r="L91" s="8"/>
      <c r="M91" s="8"/>
    </row>
    <row r="92" customFormat="false" ht="53.7" hidden="false" customHeight="false" outlineLevel="0" collapsed="false">
      <c r="A92" s="3" t="s">
        <v>459</v>
      </c>
      <c r="B92" s="3" t="s">
        <v>32</v>
      </c>
      <c r="C92" s="3" t="s">
        <v>460</v>
      </c>
      <c r="D92" s="3" t="s">
        <v>461</v>
      </c>
      <c r="E92" s="3" t="s">
        <v>330</v>
      </c>
      <c r="F92" s="7" t="s">
        <v>331</v>
      </c>
      <c r="G92" s="3" t="s">
        <v>21</v>
      </c>
      <c r="H92" s="3" t="s">
        <v>316</v>
      </c>
      <c r="I92" s="3"/>
      <c r="J92" s="8"/>
      <c r="K92" s="8"/>
      <c r="L92" s="8"/>
      <c r="M92" s="8"/>
    </row>
    <row r="93" customFormat="false" ht="74.6" hidden="false" customHeight="false" outlineLevel="0" collapsed="false">
      <c r="A93" s="3" t="s">
        <v>462</v>
      </c>
      <c r="B93" s="3" t="s">
        <v>32</v>
      </c>
      <c r="C93" s="3" t="s">
        <v>463</v>
      </c>
      <c r="D93" s="3" t="s">
        <v>464</v>
      </c>
      <c r="E93" s="3" t="s">
        <v>335</v>
      </c>
      <c r="F93" s="7" t="s">
        <v>336</v>
      </c>
      <c r="G93" s="3" t="s">
        <v>21</v>
      </c>
      <c r="H93" s="3" t="s">
        <v>316</v>
      </c>
      <c r="I93" s="3"/>
      <c r="J93" s="8"/>
      <c r="K93" s="8"/>
      <c r="L93" s="8"/>
      <c r="M93" s="8"/>
    </row>
    <row r="94" customFormat="false" ht="22.35" hidden="false" customHeight="false" outlineLevel="0" collapsed="false">
      <c r="A94" s="3" t="s">
        <v>465</v>
      </c>
      <c r="B94" s="3" t="s">
        <v>32</v>
      </c>
      <c r="C94" s="3" t="s">
        <v>466</v>
      </c>
      <c r="D94" s="3" t="s">
        <v>467</v>
      </c>
      <c r="E94" s="3" t="s">
        <v>340</v>
      </c>
      <c r="F94" s="7" t="s">
        <v>341</v>
      </c>
      <c r="G94" s="3" t="s">
        <v>21</v>
      </c>
      <c r="H94" s="3" t="s">
        <v>316</v>
      </c>
      <c r="I94" s="3"/>
      <c r="J94" s="8"/>
      <c r="K94" s="8"/>
      <c r="L94" s="8"/>
      <c r="M94" s="8"/>
    </row>
    <row r="95" customFormat="false" ht="32.8" hidden="false" customHeight="false" outlineLevel="0" collapsed="false">
      <c r="A95" s="3" t="s">
        <v>468</v>
      </c>
      <c r="B95" s="3" t="s">
        <v>32</v>
      </c>
      <c r="C95" s="3" t="s">
        <v>469</v>
      </c>
      <c r="D95" s="3" t="s">
        <v>470</v>
      </c>
      <c r="E95" s="3" t="s">
        <v>345</v>
      </c>
      <c r="F95" s="7" t="s">
        <v>471</v>
      </c>
      <c r="G95" s="3" t="s">
        <v>21</v>
      </c>
      <c r="H95" s="3" t="s">
        <v>316</v>
      </c>
      <c r="I95" s="3"/>
      <c r="J95" s="8"/>
      <c r="K95" s="8"/>
      <c r="L95" s="8"/>
      <c r="M95" s="8"/>
    </row>
    <row r="96" customFormat="false" ht="85.05" hidden="false" customHeight="false" outlineLevel="0" collapsed="false">
      <c r="A96" s="3" t="s">
        <v>472</v>
      </c>
      <c r="B96" s="3" t="s">
        <v>32</v>
      </c>
      <c r="C96" s="3" t="s">
        <v>473</v>
      </c>
      <c r="D96" s="3" t="s">
        <v>474</v>
      </c>
      <c r="E96" s="3" t="s">
        <v>475</v>
      </c>
      <c r="F96" s="7" t="s">
        <v>476</v>
      </c>
      <c r="G96" s="3" t="s">
        <v>23</v>
      </c>
      <c r="H96" s="3" t="s">
        <v>57</v>
      </c>
      <c r="I96" s="3" t="s">
        <v>105</v>
      </c>
      <c r="J96" s="8"/>
      <c r="K96" s="8"/>
      <c r="L96" s="8"/>
      <c r="M96" s="8"/>
    </row>
    <row r="97" customFormat="false" ht="35.05" hidden="false" customHeight="false" outlineLevel="0" collapsed="false">
      <c r="A97" s="3" t="s">
        <v>477</v>
      </c>
      <c r="B97" s="3" t="s">
        <v>32</v>
      </c>
      <c r="C97" s="3" t="s">
        <v>478</v>
      </c>
      <c r="D97" s="3" t="s">
        <v>479</v>
      </c>
      <c r="E97" s="3" t="s">
        <v>114</v>
      </c>
      <c r="F97" s="7" t="s">
        <v>157</v>
      </c>
      <c r="G97" s="3" t="s">
        <v>22</v>
      </c>
      <c r="H97" s="3" t="s">
        <v>51</v>
      </c>
      <c r="I97" s="3"/>
      <c r="J97" s="8"/>
      <c r="K97" s="8"/>
      <c r="L97" s="8"/>
      <c r="M97" s="8"/>
    </row>
    <row r="98" customFormat="false" ht="43.25" hidden="false" customHeight="false" outlineLevel="0" collapsed="false">
      <c r="A98" s="3" t="s">
        <v>480</v>
      </c>
      <c r="B98" s="3" t="s">
        <v>32</v>
      </c>
      <c r="C98" s="3" t="s">
        <v>481</v>
      </c>
      <c r="D98" s="3" t="s">
        <v>482</v>
      </c>
      <c r="E98" s="3" t="s">
        <v>483</v>
      </c>
      <c r="F98" s="7" t="s">
        <v>484</v>
      </c>
      <c r="G98" s="3" t="s">
        <v>21</v>
      </c>
      <c r="H98" s="3" t="s">
        <v>63</v>
      </c>
      <c r="I98" s="3"/>
      <c r="J98" s="8"/>
      <c r="K98" s="8"/>
      <c r="L98" s="8"/>
      <c r="M98" s="8"/>
    </row>
    <row r="99" customFormat="false" ht="85.05" hidden="false" customHeight="false" outlineLevel="0" collapsed="false">
      <c r="A99" s="3" t="s">
        <v>485</v>
      </c>
      <c r="B99" s="3" t="s">
        <v>32</v>
      </c>
      <c r="C99" s="3" t="s">
        <v>486</v>
      </c>
      <c r="D99" s="3" t="s">
        <v>487</v>
      </c>
      <c r="E99" s="3" t="s">
        <v>363</v>
      </c>
      <c r="F99" s="7" t="s">
        <v>488</v>
      </c>
      <c r="G99" s="3" t="s">
        <v>23</v>
      </c>
      <c r="H99" s="3" t="s">
        <v>57</v>
      </c>
      <c r="I99" s="3" t="s">
        <v>105</v>
      </c>
      <c r="J99" s="8"/>
      <c r="K99" s="8"/>
      <c r="L99" s="8"/>
      <c r="M99" s="8"/>
    </row>
    <row r="100" customFormat="false" ht="35.05" hidden="false" customHeight="false" outlineLevel="0" collapsed="false">
      <c r="A100" s="3" t="s">
        <v>489</v>
      </c>
      <c r="B100" s="3" t="s">
        <v>32</v>
      </c>
      <c r="C100" s="3" t="s">
        <v>490</v>
      </c>
      <c r="D100" s="3" t="s">
        <v>491</v>
      </c>
      <c r="E100" s="3" t="s">
        <v>114</v>
      </c>
      <c r="F100" s="7" t="s">
        <v>157</v>
      </c>
      <c r="G100" s="3" t="s">
        <v>22</v>
      </c>
      <c r="H100" s="3" t="s">
        <v>51</v>
      </c>
      <c r="I100" s="3"/>
      <c r="J100" s="8"/>
      <c r="K100" s="8"/>
      <c r="L100" s="8"/>
      <c r="M100" s="8"/>
    </row>
    <row r="101" customFormat="false" ht="315.65" hidden="false" customHeight="false" outlineLevel="0" collapsed="false">
      <c r="A101" s="3" t="s">
        <v>492</v>
      </c>
      <c r="B101" s="3" t="s">
        <v>32</v>
      </c>
      <c r="C101" s="3" t="s">
        <v>493</v>
      </c>
      <c r="D101" s="3" t="s">
        <v>494</v>
      </c>
      <c r="E101" s="3" t="s">
        <v>371</v>
      </c>
      <c r="F101" s="7" t="s">
        <v>495</v>
      </c>
      <c r="G101" s="3" t="s">
        <v>21</v>
      </c>
      <c r="H101" s="3" t="s">
        <v>63</v>
      </c>
      <c r="I101" s="3"/>
      <c r="J101" s="8"/>
      <c r="K101" s="8"/>
      <c r="L101" s="8"/>
      <c r="M101" s="8"/>
    </row>
    <row r="102" customFormat="false" ht="95.5" hidden="false" customHeight="false" outlineLevel="0" collapsed="false">
      <c r="A102" s="3" t="s">
        <v>496</v>
      </c>
      <c r="B102" s="3" t="s">
        <v>32</v>
      </c>
      <c r="C102" s="3" t="s">
        <v>374</v>
      </c>
      <c r="D102" s="3" t="s">
        <v>497</v>
      </c>
      <c r="E102" s="3" t="s">
        <v>376</v>
      </c>
      <c r="F102" s="7" t="s">
        <v>498</v>
      </c>
      <c r="G102" s="3" t="s">
        <v>23</v>
      </c>
      <c r="H102" s="3" t="s">
        <v>57</v>
      </c>
      <c r="I102" s="3"/>
      <c r="J102" s="8"/>
      <c r="K102" s="8"/>
      <c r="L102" s="8"/>
      <c r="M102" s="8"/>
    </row>
    <row r="103" customFormat="false" ht="35.05" hidden="false" customHeight="false" outlineLevel="0" collapsed="false">
      <c r="A103" s="3" t="s">
        <v>499</v>
      </c>
      <c r="B103" s="3" t="s">
        <v>32</v>
      </c>
      <c r="C103" s="3" t="s">
        <v>500</v>
      </c>
      <c r="D103" s="3" t="s">
        <v>501</v>
      </c>
      <c r="E103" s="3" t="s">
        <v>114</v>
      </c>
      <c r="F103" s="7" t="s">
        <v>157</v>
      </c>
      <c r="G103" s="3" t="s">
        <v>22</v>
      </c>
      <c r="H103" s="3" t="s">
        <v>51</v>
      </c>
      <c r="I103" s="3"/>
      <c r="J103" s="8"/>
      <c r="K103" s="8"/>
      <c r="L103" s="8"/>
      <c r="M103" s="8"/>
    </row>
    <row r="104" customFormat="false" ht="315.65" hidden="false" customHeight="false" outlineLevel="0" collapsed="false">
      <c r="A104" s="3" t="s">
        <v>502</v>
      </c>
      <c r="B104" s="3" t="s">
        <v>32</v>
      </c>
      <c r="C104" s="3" t="s">
        <v>503</v>
      </c>
      <c r="D104" s="3" t="s">
        <v>504</v>
      </c>
      <c r="E104" s="3" t="s">
        <v>505</v>
      </c>
      <c r="F104" s="7" t="s">
        <v>506</v>
      </c>
      <c r="G104" s="3" t="s">
        <v>21</v>
      </c>
      <c r="H104" s="3" t="s">
        <v>391</v>
      </c>
      <c r="I104" s="3" t="s">
        <v>392</v>
      </c>
      <c r="J104" s="8"/>
      <c r="K104" s="8"/>
      <c r="L104" s="8"/>
      <c r="M104" s="8"/>
    </row>
    <row r="105" customFormat="false" ht="95.5" hidden="false" customHeight="false" outlineLevel="0" collapsed="false">
      <c r="A105" s="3" t="s">
        <v>507</v>
      </c>
      <c r="B105" s="3" t="s">
        <v>32</v>
      </c>
      <c r="C105" s="3" t="s">
        <v>508</v>
      </c>
      <c r="D105" s="3" t="s">
        <v>509</v>
      </c>
      <c r="E105" s="3" t="s">
        <v>510</v>
      </c>
      <c r="F105" s="7" t="s">
        <v>511</v>
      </c>
      <c r="G105" s="3" t="s">
        <v>23</v>
      </c>
      <c r="H105" s="3" t="s">
        <v>57</v>
      </c>
      <c r="I105" s="3"/>
      <c r="J105" s="8"/>
      <c r="K105" s="8"/>
      <c r="L105" s="8"/>
      <c r="M105" s="8"/>
    </row>
    <row r="106" customFormat="false" ht="35.05" hidden="false" customHeight="false" outlineLevel="0" collapsed="false">
      <c r="A106" s="3" t="s">
        <v>512</v>
      </c>
      <c r="B106" s="3" t="s">
        <v>32</v>
      </c>
      <c r="C106" s="3" t="s">
        <v>513</v>
      </c>
      <c r="D106" s="3" t="s">
        <v>514</v>
      </c>
      <c r="E106" s="3" t="s">
        <v>114</v>
      </c>
      <c r="F106" s="7" t="s">
        <v>115</v>
      </c>
      <c r="G106" s="3" t="s">
        <v>22</v>
      </c>
      <c r="H106" s="3" t="s">
        <v>51</v>
      </c>
      <c r="I106" s="3"/>
      <c r="J106" s="8"/>
      <c r="K106" s="8"/>
      <c r="L106" s="8"/>
      <c r="M106" s="8"/>
    </row>
    <row r="107" customFormat="false" ht="95.5" hidden="false" customHeight="false" outlineLevel="0" collapsed="false">
      <c r="A107" s="3" t="s">
        <v>515</v>
      </c>
      <c r="B107" s="3" t="s">
        <v>32</v>
      </c>
      <c r="C107" s="3" t="s">
        <v>516</v>
      </c>
      <c r="D107" s="3" t="s">
        <v>517</v>
      </c>
      <c r="E107" s="3" t="s">
        <v>404</v>
      </c>
      <c r="F107" s="7" t="s">
        <v>518</v>
      </c>
      <c r="G107" s="3" t="s">
        <v>23</v>
      </c>
      <c r="H107" s="3" t="s">
        <v>57</v>
      </c>
      <c r="I107" s="3"/>
      <c r="J107" s="8"/>
      <c r="K107" s="8"/>
      <c r="L107" s="8"/>
      <c r="M107" s="8"/>
    </row>
    <row r="108" customFormat="false" ht="35.05" hidden="false" customHeight="false" outlineLevel="0" collapsed="false">
      <c r="A108" s="3" t="s">
        <v>519</v>
      </c>
      <c r="B108" s="3" t="s">
        <v>32</v>
      </c>
      <c r="C108" s="3" t="s">
        <v>520</v>
      </c>
      <c r="D108" s="3" t="s">
        <v>521</v>
      </c>
      <c r="E108" s="3" t="s">
        <v>114</v>
      </c>
      <c r="F108" s="7" t="s">
        <v>115</v>
      </c>
      <c r="G108" s="3" t="s">
        <v>22</v>
      </c>
      <c r="H108" s="3" t="s">
        <v>51</v>
      </c>
      <c r="I108" s="3"/>
      <c r="J108" s="8"/>
      <c r="K108" s="8"/>
      <c r="L108" s="8"/>
      <c r="M108" s="8"/>
    </row>
    <row r="109" customFormat="false" ht="105.95" hidden="false" customHeight="false" outlineLevel="0" collapsed="false">
      <c r="A109" s="3" t="s">
        <v>522</v>
      </c>
      <c r="B109" s="3" t="s">
        <v>32</v>
      </c>
      <c r="C109" s="3" t="s">
        <v>523</v>
      </c>
      <c r="D109" s="3" t="s">
        <v>524</v>
      </c>
      <c r="E109" s="3" t="s">
        <v>411</v>
      </c>
      <c r="F109" s="7" t="s">
        <v>525</v>
      </c>
      <c r="G109" s="3" t="s">
        <v>23</v>
      </c>
      <c r="H109" s="3" t="s">
        <v>57</v>
      </c>
      <c r="I109" s="3"/>
      <c r="J109" s="8"/>
      <c r="K109" s="8"/>
      <c r="L109" s="8"/>
      <c r="M109" s="8"/>
    </row>
    <row r="110" customFormat="false" ht="35.05" hidden="false" customHeight="false" outlineLevel="0" collapsed="false">
      <c r="A110" s="3" t="s">
        <v>526</v>
      </c>
      <c r="B110" s="3" t="s">
        <v>32</v>
      </c>
      <c r="C110" s="3" t="s">
        <v>527</v>
      </c>
      <c r="D110" s="3" t="s">
        <v>528</v>
      </c>
      <c r="E110" s="3" t="s">
        <v>114</v>
      </c>
      <c r="F110" s="7" t="s">
        <v>115</v>
      </c>
      <c r="G110" s="3" t="s">
        <v>22</v>
      </c>
      <c r="H110" s="3" t="s">
        <v>51</v>
      </c>
      <c r="I110" s="3"/>
      <c r="J110" s="8"/>
      <c r="K110" s="8"/>
      <c r="L110" s="8"/>
      <c r="M110" s="8"/>
    </row>
    <row r="111" customFormat="false" ht="85.05" hidden="false" customHeight="false" outlineLevel="0" collapsed="false">
      <c r="A111" s="3" t="s">
        <v>529</v>
      </c>
      <c r="B111" s="3" t="s">
        <v>32</v>
      </c>
      <c r="C111" s="3" t="s">
        <v>530</v>
      </c>
      <c r="D111" s="3" t="s">
        <v>531</v>
      </c>
      <c r="E111" s="3" t="s">
        <v>419</v>
      </c>
      <c r="F111" s="7" t="s">
        <v>420</v>
      </c>
      <c r="G111" s="3" t="s">
        <v>23</v>
      </c>
      <c r="H111" s="3" t="s">
        <v>57</v>
      </c>
      <c r="I111" s="3"/>
      <c r="J111" s="8"/>
      <c r="K111" s="8"/>
      <c r="L111" s="8"/>
      <c r="M111" s="8"/>
    </row>
    <row r="112" customFormat="false" ht="35.05" hidden="false" customHeight="false" outlineLevel="0" collapsed="false">
      <c r="A112" s="3" t="s">
        <v>532</v>
      </c>
      <c r="B112" s="3" t="s">
        <v>32</v>
      </c>
      <c r="C112" s="3" t="s">
        <v>533</v>
      </c>
      <c r="D112" s="3" t="s">
        <v>534</v>
      </c>
      <c r="E112" s="3" t="s">
        <v>114</v>
      </c>
      <c r="F112" s="7" t="s">
        <v>157</v>
      </c>
      <c r="G112" s="3" t="s">
        <v>22</v>
      </c>
      <c r="H112" s="3" t="s">
        <v>51</v>
      </c>
      <c r="I112" s="3"/>
      <c r="J112" s="8"/>
      <c r="K112" s="8"/>
      <c r="L112" s="8"/>
      <c r="M112" s="8"/>
    </row>
    <row r="113" customFormat="false" ht="95.5" hidden="false" customHeight="false" outlineLevel="0" collapsed="false">
      <c r="A113" s="3" t="s">
        <v>535</v>
      </c>
      <c r="B113" s="3" t="s">
        <v>32</v>
      </c>
      <c r="C113" s="3" t="s">
        <v>536</v>
      </c>
      <c r="D113" s="3" t="s">
        <v>537</v>
      </c>
      <c r="E113" s="3" t="s">
        <v>538</v>
      </c>
      <c r="F113" s="7" t="s">
        <v>539</v>
      </c>
      <c r="G113" s="3" t="s">
        <v>22</v>
      </c>
      <c r="H113" s="3" t="s">
        <v>51</v>
      </c>
      <c r="I113" s="3" t="s">
        <v>105</v>
      </c>
      <c r="J113" s="8"/>
      <c r="K113" s="8"/>
      <c r="L113" s="8"/>
      <c r="M113" s="8"/>
    </row>
    <row r="114" customFormat="false" ht="85.05" hidden="false" customHeight="false" outlineLevel="0" collapsed="false">
      <c r="A114" s="3" t="s">
        <v>540</v>
      </c>
      <c r="B114" s="3" t="s">
        <v>32</v>
      </c>
      <c r="C114" s="3" t="s">
        <v>541</v>
      </c>
      <c r="D114" s="3" t="s">
        <v>542</v>
      </c>
      <c r="E114" s="3" t="s">
        <v>543</v>
      </c>
      <c r="F114" s="7" t="s">
        <v>544</v>
      </c>
      <c r="G114" s="3" t="s">
        <v>21</v>
      </c>
      <c r="H114" s="3" t="s">
        <v>63</v>
      </c>
      <c r="I114" s="3"/>
      <c r="J114" s="8"/>
      <c r="K114" s="8"/>
      <c r="L114" s="8"/>
      <c r="M114" s="8"/>
    </row>
    <row r="115" customFormat="false" ht="179.1" hidden="false" customHeight="false" outlineLevel="0" collapsed="false">
      <c r="A115" s="3" t="s">
        <v>545</v>
      </c>
      <c r="B115" s="3" t="s">
        <v>32</v>
      </c>
      <c r="C115" s="3" t="s">
        <v>546</v>
      </c>
      <c r="D115" s="3" t="s">
        <v>547</v>
      </c>
      <c r="E115" s="3" t="s">
        <v>548</v>
      </c>
      <c r="F115" s="7" t="s">
        <v>549</v>
      </c>
      <c r="G115" s="3" t="s">
        <v>21</v>
      </c>
      <c r="H115" s="3" t="s">
        <v>63</v>
      </c>
      <c r="I115" s="3"/>
      <c r="J115" s="8"/>
      <c r="K115" s="8"/>
      <c r="L115" s="8"/>
      <c r="M115" s="8"/>
    </row>
    <row r="116" customFormat="false" ht="315.65" hidden="false" customHeight="false" outlineLevel="0" collapsed="false">
      <c r="A116" s="3" t="s">
        <v>550</v>
      </c>
      <c r="B116" s="3" t="s">
        <v>32</v>
      </c>
      <c r="C116" s="3" t="s">
        <v>551</v>
      </c>
      <c r="D116" s="3" t="s">
        <v>552</v>
      </c>
      <c r="E116" s="3" t="s">
        <v>553</v>
      </c>
      <c r="F116" s="7" t="s">
        <v>554</v>
      </c>
      <c r="G116" s="3" t="s">
        <v>21</v>
      </c>
      <c r="H116" s="3" t="s">
        <v>63</v>
      </c>
      <c r="I116" s="3" t="s">
        <v>392</v>
      </c>
      <c r="J116" s="8"/>
      <c r="K116" s="8"/>
      <c r="L116" s="8"/>
      <c r="M116" s="8"/>
    </row>
    <row r="117" customFormat="false" ht="95.5" hidden="false" customHeight="false" outlineLevel="0" collapsed="false">
      <c r="A117" s="3" t="s">
        <v>555</v>
      </c>
      <c r="B117" s="3" t="s">
        <v>32</v>
      </c>
      <c r="C117" s="3" t="s">
        <v>556</v>
      </c>
      <c r="D117" s="3" t="s">
        <v>557</v>
      </c>
      <c r="E117" s="3" t="s">
        <v>558</v>
      </c>
      <c r="F117" s="7" t="s">
        <v>559</v>
      </c>
      <c r="G117" s="3" t="s">
        <v>21</v>
      </c>
      <c r="H117" s="3" t="s">
        <v>63</v>
      </c>
      <c r="I117" s="3"/>
      <c r="J117" s="8"/>
      <c r="K117" s="8"/>
      <c r="L117" s="8"/>
      <c r="M117" s="8"/>
    </row>
    <row r="118" customFormat="false" ht="210.4" hidden="false" customHeight="false" outlineLevel="0" collapsed="false">
      <c r="A118" s="3" t="s">
        <v>560</v>
      </c>
      <c r="B118" s="3" t="s">
        <v>32</v>
      </c>
      <c r="C118" s="3" t="s">
        <v>561</v>
      </c>
      <c r="D118" s="3" t="s">
        <v>562</v>
      </c>
      <c r="E118" s="3" t="s">
        <v>563</v>
      </c>
      <c r="F118" s="7" t="s">
        <v>564</v>
      </c>
      <c r="G118" s="3" t="s">
        <v>21</v>
      </c>
      <c r="H118" s="3" t="s">
        <v>63</v>
      </c>
      <c r="I118" s="3"/>
      <c r="J118" s="8"/>
      <c r="K118" s="8"/>
      <c r="L118" s="8"/>
      <c r="M118" s="8"/>
    </row>
    <row r="119" customFormat="false" ht="137.3" hidden="false" customHeight="false" outlineLevel="0" collapsed="false">
      <c r="A119" s="3" t="s">
        <v>565</v>
      </c>
      <c r="B119" s="3" t="s">
        <v>32</v>
      </c>
      <c r="C119" s="3" t="s">
        <v>566</v>
      </c>
      <c r="D119" s="3" t="s">
        <v>567</v>
      </c>
      <c r="E119" s="3" t="s">
        <v>568</v>
      </c>
      <c r="F119" s="7" t="s">
        <v>569</v>
      </c>
      <c r="G119" s="3" t="s">
        <v>21</v>
      </c>
      <c r="H119" s="3" t="s">
        <v>63</v>
      </c>
      <c r="I119" s="3"/>
      <c r="J119" s="8"/>
      <c r="K119" s="8"/>
      <c r="L119" s="8"/>
      <c r="M119" s="8"/>
    </row>
    <row r="120" customFormat="false" ht="284.3" hidden="false" customHeight="false" outlineLevel="0" collapsed="false">
      <c r="A120" s="3" t="s">
        <v>570</v>
      </c>
      <c r="B120" s="3" t="s">
        <v>32</v>
      </c>
      <c r="C120" s="3" t="s">
        <v>571</v>
      </c>
      <c r="D120" s="3" t="s">
        <v>572</v>
      </c>
      <c r="E120" s="3" t="s">
        <v>573</v>
      </c>
      <c r="F120" s="7" t="s">
        <v>574</v>
      </c>
      <c r="G120" s="3" t="s">
        <v>21</v>
      </c>
      <c r="H120" s="3" t="s">
        <v>63</v>
      </c>
      <c r="I120" s="3"/>
      <c r="J120" s="8"/>
      <c r="K120" s="8"/>
      <c r="L120" s="8"/>
      <c r="M120" s="8"/>
    </row>
    <row r="121" customFormat="false" ht="294.75" hidden="false" customHeight="false" outlineLevel="0" collapsed="false">
      <c r="A121" s="3" t="s">
        <v>575</v>
      </c>
      <c r="B121" s="3" t="s">
        <v>32</v>
      </c>
      <c r="C121" s="3" t="s">
        <v>576</v>
      </c>
      <c r="D121" s="3" t="s">
        <v>577</v>
      </c>
      <c r="E121" s="3" t="s">
        <v>578</v>
      </c>
      <c r="F121" s="7" t="s">
        <v>579</v>
      </c>
      <c r="G121" s="3" t="s">
        <v>21</v>
      </c>
      <c r="H121" s="3" t="s">
        <v>63</v>
      </c>
      <c r="I121" s="3"/>
      <c r="J121" s="8"/>
      <c r="K121" s="8"/>
      <c r="L121" s="8"/>
      <c r="M121" s="8"/>
    </row>
  </sheetData>
  <autoFilter ref="A1:M121"/>
  <dataValidations count="1">
    <dataValidation allowBlank="true" errorStyle="stop" operator="between" showDropDown="false" showErrorMessage="false" showInputMessage="false" sqref="J2:K121" type="list">
      <formula1>"Manter,Descartar,Ajustar"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4" min="3" style="0" width="11"/>
    <col collapsed="false" customWidth="true" hidden="false" outlineLevel="0" max="5" min="5" style="0" width="60"/>
    <col collapsed="false" customWidth="true" hidden="false" outlineLevel="0" max="6" min="6" style="0" width="72"/>
    <col collapsed="false" customWidth="true" hidden="false" outlineLevel="0" max="7" min="7" style="0" width="30"/>
    <col collapsed="false" customWidth="true" hidden="false" outlineLevel="0" max="8" min="8" style="0" width="24"/>
    <col collapsed="false" customWidth="true" hidden="false" outlineLevel="0" max="9" min="9" style="0" width="16"/>
  </cols>
  <sheetData>
    <row r="1" customFormat="false" ht="30" hidden="false" customHeight="true" outlineLevel="0" collapsed="false">
      <c r="A1" s="4" t="s">
        <v>35</v>
      </c>
      <c r="B1" s="4" t="s">
        <v>17</v>
      </c>
      <c r="C1" s="4" t="s">
        <v>36</v>
      </c>
      <c r="D1" s="4" t="s">
        <v>37</v>
      </c>
      <c r="E1" s="4" t="s">
        <v>38</v>
      </c>
      <c r="F1" s="4" t="s">
        <v>39</v>
      </c>
      <c r="G1" s="4" t="s">
        <v>580</v>
      </c>
      <c r="H1" s="4" t="s">
        <v>11</v>
      </c>
      <c r="I1" s="4" t="s">
        <v>581</v>
      </c>
    </row>
    <row r="2" customFormat="false" ht="23.85" hidden="false" customHeight="false" outlineLevel="0" collapsed="false">
      <c r="A2" s="3" t="s">
        <v>582</v>
      </c>
      <c r="B2" s="3" t="s">
        <v>29</v>
      </c>
      <c r="C2" s="3" t="s">
        <v>583</v>
      </c>
      <c r="D2" s="3" t="s">
        <v>584</v>
      </c>
      <c r="E2" s="3" t="s">
        <v>585</v>
      </c>
      <c r="F2" s="7" t="s">
        <v>586</v>
      </c>
      <c r="G2" s="3" t="s">
        <v>587</v>
      </c>
      <c r="H2" s="3" t="s">
        <v>588</v>
      </c>
      <c r="I2" s="8"/>
    </row>
    <row r="3" customFormat="false" ht="85.05" hidden="false" customHeight="false" outlineLevel="0" collapsed="false">
      <c r="A3" s="3" t="s">
        <v>589</v>
      </c>
      <c r="B3" s="3" t="s">
        <v>29</v>
      </c>
      <c r="C3" s="3" t="s">
        <v>590</v>
      </c>
      <c r="D3" s="3" t="s">
        <v>591</v>
      </c>
      <c r="E3" s="3" t="s">
        <v>592</v>
      </c>
      <c r="F3" s="7" t="s">
        <v>593</v>
      </c>
      <c r="G3" s="3" t="s">
        <v>587</v>
      </c>
      <c r="H3" s="3"/>
      <c r="I3" s="8"/>
    </row>
    <row r="4" customFormat="false" ht="305.2" hidden="false" customHeight="false" outlineLevel="0" collapsed="false">
      <c r="A4" s="3" t="s">
        <v>594</v>
      </c>
      <c r="B4" s="3" t="s">
        <v>29</v>
      </c>
      <c r="C4" s="3" t="s">
        <v>595</v>
      </c>
      <c r="D4" s="3" t="s">
        <v>596</v>
      </c>
      <c r="E4" s="3" t="s">
        <v>597</v>
      </c>
      <c r="F4" s="7" t="s">
        <v>598</v>
      </c>
      <c r="G4" s="3" t="s">
        <v>587</v>
      </c>
      <c r="H4" s="3"/>
      <c r="I4" s="8"/>
    </row>
    <row r="5" customFormat="false" ht="32.8" hidden="false" customHeight="false" outlineLevel="0" collapsed="false">
      <c r="A5" s="3" t="s">
        <v>599</v>
      </c>
      <c r="B5" s="3" t="s">
        <v>29</v>
      </c>
      <c r="C5" s="3" t="s">
        <v>600</v>
      </c>
      <c r="D5" s="3" t="s">
        <v>601</v>
      </c>
      <c r="E5" s="3" t="s">
        <v>273</v>
      </c>
      <c r="F5" s="7" t="s">
        <v>602</v>
      </c>
      <c r="G5" s="3" t="s">
        <v>587</v>
      </c>
      <c r="H5" s="3" t="s">
        <v>588</v>
      </c>
      <c r="I5" s="8"/>
    </row>
    <row r="6" customFormat="false" ht="43.25" hidden="false" customHeight="false" outlineLevel="0" collapsed="false">
      <c r="A6" s="3" t="s">
        <v>603</v>
      </c>
      <c r="B6" s="3" t="s">
        <v>29</v>
      </c>
      <c r="C6" s="3" t="s">
        <v>604</v>
      </c>
      <c r="D6" s="3" t="s">
        <v>605</v>
      </c>
      <c r="E6" s="3" t="s">
        <v>606</v>
      </c>
      <c r="F6" s="7" t="s">
        <v>607</v>
      </c>
      <c r="G6" s="3" t="s">
        <v>587</v>
      </c>
      <c r="H6" s="3" t="s">
        <v>588</v>
      </c>
      <c r="I6" s="8"/>
    </row>
    <row r="7" customFormat="false" ht="179.1" hidden="false" customHeight="false" outlineLevel="0" collapsed="false">
      <c r="A7" s="3" t="s">
        <v>608</v>
      </c>
      <c r="B7" s="3" t="s">
        <v>29</v>
      </c>
      <c r="C7" s="3" t="s">
        <v>609</v>
      </c>
      <c r="D7" s="3" t="s">
        <v>610</v>
      </c>
      <c r="E7" s="3" t="s">
        <v>611</v>
      </c>
      <c r="F7" s="7" t="s">
        <v>612</v>
      </c>
      <c r="G7" s="3" t="s">
        <v>587</v>
      </c>
      <c r="H7" s="3"/>
      <c r="I7" s="8"/>
    </row>
    <row r="8" customFormat="false" ht="32.8" hidden="false" customHeight="false" outlineLevel="0" collapsed="false">
      <c r="A8" s="3" t="s">
        <v>613</v>
      </c>
      <c r="B8" s="3" t="s">
        <v>29</v>
      </c>
      <c r="C8" s="3" t="s">
        <v>614</v>
      </c>
      <c r="D8" s="3" t="s">
        <v>615</v>
      </c>
      <c r="E8" s="3" t="s">
        <v>273</v>
      </c>
      <c r="F8" s="7" t="s">
        <v>602</v>
      </c>
      <c r="G8" s="3" t="s">
        <v>587</v>
      </c>
      <c r="H8" s="3" t="s">
        <v>588</v>
      </c>
      <c r="I8" s="8"/>
    </row>
    <row r="9" customFormat="false" ht="53.7" hidden="false" customHeight="false" outlineLevel="0" collapsed="false">
      <c r="A9" s="3" t="s">
        <v>616</v>
      </c>
      <c r="B9" s="3" t="s">
        <v>29</v>
      </c>
      <c r="C9" s="3" t="s">
        <v>617</v>
      </c>
      <c r="D9" s="3" t="s">
        <v>618</v>
      </c>
      <c r="E9" s="3" t="s">
        <v>619</v>
      </c>
      <c r="F9" s="7" t="s">
        <v>620</v>
      </c>
      <c r="G9" s="3" t="s">
        <v>587</v>
      </c>
      <c r="H9" s="3" t="s">
        <v>588</v>
      </c>
      <c r="I9" s="8"/>
    </row>
    <row r="10" customFormat="false" ht="126.85" hidden="false" customHeight="false" outlineLevel="0" collapsed="false">
      <c r="A10" s="3" t="s">
        <v>621</v>
      </c>
      <c r="B10" s="3" t="s">
        <v>29</v>
      </c>
      <c r="C10" s="3" t="s">
        <v>622</v>
      </c>
      <c r="D10" s="3" t="s">
        <v>623</v>
      </c>
      <c r="E10" s="3" t="s">
        <v>624</v>
      </c>
      <c r="F10" s="7" t="s">
        <v>625</v>
      </c>
      <c r="G10" s="3" t="s">
        <v>587</v>
      </c>
      <c r="H10" s="3"/>
      <c r="I10" s="8"/>
    </row>
    <row r="11" customFormat="false" ht="273.85" hidden="false" customHeight="false" outlineLevel="0" collapsed="false">
      <c r="A11" s="3" t="s">
        <v>626</v>
      </c>
      <c r="B11" s="3" t="s">
        <v>29</v>
      </c>
      <c r="C11" s="3" t="s">
        <v>627</v>
      </c>
      <c r="D11" s="3" t="s">
        <v>628</v>
      </c>
      <c r="E11" s="3" t="s">
        <v>629</v>
      </c>
      <c r="F11" s="7" t="s">
        <v>630</v>
      </c>
      <c r="G11" s="3" t="s">
        <v>587</v>
      </c>
      <c r="H11" s="3"/>
      <c r="I11" s="8"/>
    </row>
    <row r="12" customFormat="false" ht="315.65" hidden="false" customHeight="false" outlineLevel="0" collapsed="false">
      <c r="A12" s="3" t="s">
        <v>631</v>
      </c>
      <c r="B12" s="3" t="s">
        <v>29</v>
      </c>
      <c r="C12" s="3" t="s">
        <v>632</v>
      </c>
      <c r="D12" s="3" t="s">
        <v>633</v>
      </c>
      <c r="E12" s="3" t="s">
        <v>262</v>
      </c>
      <c r="F12" s="7" t="s">
        <v>634</v>
      </c>
      <c r="G12" s="3" t="s">
        <v>587</v>
      </c>
      <c r="H12" s="3" t="s">
        <v>264</v>
      </c>
      <c r="I12" s="8"/>
    </row>
    <row r="13" customFormat="false" ht="23.85" hidden="false" customHeight="false" outlineLevel="0" collapsed="false">
      <c r="A13" s="3" t="s">
        <v>635</v>
      </c>
      <c r="B13" s="3" t="s">
        <v>29</v>
      </c>
      <c r="C13" s="3" t="s">
        <v>636</v>
      </c>
      <c r="D13" s="3" t="s">
        <v>637</v>
      </c>
      <c r="E13" s="3" t="s">
        <v>273</v>
      </c>
      <c r="F13" s="7" t="s">
        <v>638</v>
      </c>
      <c r="G13" s="3" t="s">
        <v>587</v>
      </c>
      <c r="H13" s="3" t="s">
        <v>588</v>
      </c>
      <c r="I13" s="8"/>
    </row>
    <row r="14" customFormat="false" ht="147.75" hidden="false" customHeight="false" outlineLevel="0" collapsed="false">
      <c r="A14" s="3" t="s">
        <v>639</v>
      </c>
      <c r="B14" s="3" t="s">
        <v>29</v>
      </c>
      <c r="C14" s="3" t="s">
        <v>640</v>
      </c>
      <c r="D14" s="3" t="s">
        <v>641</v>
      </c>
      <c r="E14" s="3" t="s">
        <v>642</v>
      </c>
      <c r="F14" s="7" t="s">
        <v>643</v>
      </c>
      <c r="G14" s="3" t="s">
        <v>587</v>
      </c>
      <c r="H14" s="3" t="s">
        <v>588</v>
      </c>
      <c r="I14" s="8"/>
    </row>
    <row r="15" customFormat="false" ht="43.25" hidden="false" customHeight="false" outlineLevel="0" collapsed="false">
      <c r="A15" s="3" t="s">
        <v>644</v>
      </c>
      <c r="B15" s="3" t="s">
        <v>29</v>
      </c>
      <c r="C15" s="3" t="s">
        <v>645</v>
      </c>
      <c r="D15" s="3" t="s">
        <v>646</v>
      </c>
      <c r="E15" s="3" t="s">
        <v>647</v>
      </c>
      <c r="F15" s="7" t="s">
        <v>648</v>
      </c>
      <c r="G15" s="3" t="s">
        <v>587</v>
      </c>
      <c r="H15" s="3"/>
      <c r="I15" s="8"/>
    </row>
    <row r="16" customFormat="false" ht="315.65" hidden="false" customHeight="false" outlineLevel="0" collapsed="false">
      <c r="A16" s="3" t="s">
        <v>649</v>
      </c>
      <c r="B16" s="3" t="s">
        <v>29</v>
      </c>
      <c r="C16" s="3" t="s">
        <v>650</v>
      </c>
      <c r="D16" s="3" t="s">
        <v>651</v>
      </c>
      <c r="E16" s="3" t="s">
        <v>262</v>
      </c>
      <c r="F16" s="7" t="s">
        <v>652</v>
      </c>
      <c r="G16" s="3" t="s">
        <v>587</v>
      </c>
      <c r="H16" s="3" t="s">
        <v>264</v>
      </c>
      <c r="I16" s="8"/>
    </row>
    <row r="17" customFormat="false" ht="64.15" hidden="false" customHeight="false" outlineLevel="0" collapsed="false">
      <c r="A17" s="3" t="s">
        <v>653</v>
      </c>
      <c r="B17" s="3" t="s">
        <v>30</v>
      </c>
      <c r="C17" s="3" t="s">
        <v>654</v>
      </c>
      <c r="D17" s="3" t="s">
        <v>655</v>
      </c>
      <c r="E17" s="3" t="s">
        <v>592</v>
      </c>
      <c r="F17" s="7" t="s">
        <v>656</v>
      </c>
      <c r="G17" s="3" t="s">
        <v>587</v>
      </c>
      <c r="H17" s="3"/>
      <c r="I17" s="8"/>
    </row>
    <row r="18" customFormat="false" ht="315.65" hidden="false" customHeight="false" outlineLevel="0" collapsed="false">
      <c r="A18" s="3" t="s">
        <v>657</v>
      </c>
      <c r="B18" s="3" t="s">
        <v>30</v>
      </c>
      <c r="C18" s="3" t="s">
        <v>658</v>
      </c>
      <c r="D18" s="3" t="s">
        <v>659</v>
      </c>
      <c r="E18" s="3" t="s">
        <v>262</v>
      </c>
      <c r="F18" s="7" t="s">
        <v>660</v>
      </c>
      <c r="G18" s="3" t="s">
        <v>587</v>
      </c>
      <c r="H18" s="3" t="s">
        <v>264</v>
      </c>
      <c r="I18" s="8"/>
    </row>
    <row r="19" customFormat="false" ht="23.85" hidden="false" customHeight="false" outlineLevel="0" collapsed="false">
      <c r="A19" s="3" t="s">
        <v>661</v>
      </c>
      <c r="B19" s="3" t="s">
        <v>30</v>
      </c>
      <c r="C19" s="3" t="s">
        <v>662</v>
      </c>
      <c r="D19" s="3" t="s">
        <v>663</v>
      </c>
      <c r="E19" s="3" t="s">
        <v>664</v>
      </c>
      <c r="F19" s="7" t="s">
        <v>665</v>
      </c>
      <c r="G19" s="3" t="s">
        <v>587</v>
      </c>
      <c r="H19" s="3" t="s">
        <v>588</v>
      </c>
      <c r="I19" s="8"/>
    </row>
    <row r="20" customFormat="false" ht="23.85" hidden="false" customHeight="false" outlineLevel="0" collapsed="false">
      <c r="A20" s="3" t="s">
        <v>666</v>
      </c>
      <c r="B20" s="3" t="s">
        <v>30</v>
      </c>
      <c r="C20" s="3" t="s">
        <v>667</v>
      </c>
      <c r="D20" s="3" t="s">
        <v>668</v>
      </c>
      <c r="E20" s="3" t="s">
        <v>669</v>
      </c>
      <c r="F20" s="7" t="s">
        <v>670</v>
      </c>
      <c r="G20" s="3" t="s">
        <v>587</v>
      </c>
      <c r="H20" s="3"/>
      <c r="I20" s="8"/>
    </row>
    <row r="21" customFormat="false" ht="315.65" hidden="false" customHeight="false" outlineLevel="0" collapsed="false">
      <c r="A21" s="3" t="s">
        <v>671</v>
      </c>
      <c r="B21" s="3" t="s">
        <v>30</v>
      </c>
      <c r="C21" s="3" t="s">
        <v>672</v>
      </c>
      <c r="D21" s="3" t="s">
        <v>673</v>
      </c>
      <c r="E21" s="3" t="s">
        <v>262</v>
      </c>
      <c r="F21" s="7" t="s">
        <v>674</v>
      </c>
      <c r="G21" s="3" t="s">
        <v>587</v>
      </c>
      <c r="H21" s="3" t="s">
        <v>264</v>
      </c>
      <c r="I21" s="8"/>
    </row>
    <row r="22" customFormat="false" ht="315.65" hidden="false" customHeight="false" outlineLevel="0" collapsed="false">
      <c r="A22" s="3" t="s">
        <v>675</v>
      </c>
      <c r="B22" s="3" t="s">
        <v>30</v>
      </c>
      <c r="C22" s="3" t="s">
        <v>676</v>
      </c>
      <c r="D22" s="3" t="s">
        <v>677</v>
      </c>
      <c r="E22" s="3" t="s">
        <v>262</v>
      </c>
      <c r="F22" s="7" t="s">
        <v>678</v>
      </c>
      <c r="G22" s="3" t="s">
        <v>587</v>
      </c>
      <c r="H22" s="3" t="s">
        <v>264</v>
      </c>
      <c r="I22" s="8"/>
    </row>
    <row r="23" customFormat="false" ht="23.85" hidden="false" customHeight="false" outlineLevel="0" collapsed="false">
      <c r="A23" s="3" t="s">
        <v>679</v>
      </c>
      <c r="B23" s="3" t="s">
        <v>30</v>
      </c>
      <c r="C23" s="3" t="s">
        <v>680</v>
      </c>
      <c r="D23" s="3" t="s">
        <v>681</v>
      </c>
      <c r="E23" s="3" t="s">
        <v>682</v>
      </c>
      <c r="F23" s="7" t="s">
        <v>683</v>
      </c>
      <c r="G23" s="3" t="s">
        <v>587</v>
      </c>
      <c r="H23" s="3"/>
      <c r="I23" s="8"/>
    </row>
    <row r="24" customFormat="false" ht="23.85" hidden="false" customHeight="false" outlineLevel="0" collapsed="false">
      <c r="A24" s="3" t="s">
        <v>684</v>
      </c>
      <c r="B24" s="3" t="s">
        <v>30</v>
      </c>
      <c r="C24" s="3" t="s">
        <v>685</v>
      </c>
      <c r="D24" s="3" t="s">
        <v>686</v>
      </c>
      <c r="E24" s="3" t="s">
        <v>687</v>
      </c>
      <c r="F24" s="7" t="s">
        <v>688</v>
      </c>
      <c r="G24" s="3" t="s">
        <v>587</v>
      </c>
      <c r="H24" s="3"/>
      <c r="I24" s="8"/>
    </row>
    <row r="25" customFormat="false" ht="315.65" hidden="false" customHeight="false" outlineLevel="0" collapsed="false">
      <c r="A25" s="3" t="s">
        <v>689</v>
      </c>
      <c r="B25" s="3" t="s">
        <v>30</v>
      </c>
      <c r="C25" s="3" t="s">
        <v>690</v>
      </c>
      <c r="D25" s="3" t="s">
        <v>691</v>
      </c>
      <c r="E25" s="3" t="s">
        <v>262</v>
      </c>
      <c r="F25" s="7" t="s">
        <v>692</v>
      </c>
      <c r="G25" s="3" t="s">
        <v>587</v>
      </c>
      <c r="H25" s="3" t="s">
        <v>264</v>
      </c>
      <c r="I25" s="8"/>
    </row>
    <row r="26" customFormat="false" ht="53.7" hidden="false" customHeight="false" outlineLevel="0" collapsed="false">
      <c r="A26" s="3" t="s">
        <v>693</v>
      </c>
      <c r="B26" s="3" t="s">
        <v>30</v>
      </c>
      <c r="C26" s="3" t="s">
        <v>694</v>
      </c>
      <c r="D26" s="3" t="s">
        <v>695</v>
      </c>
      <c r="E26" s="3" t="s">
        <v>696</v>
      </c>
      <c r="F26" s="7" t="s">
        <v>697</v>
      </c>
      <c r="G26" s="3" t="s">
        <v>587</v>
      </c>
      <c r="H26" s="3" t="s">
        <v>588</v>
      </c>
      <c r="I26" s="8"/>
    </row>
    <row r="27" customFormat="false" ht="315.65" hidden="false" customHeight="false" outlineLevel="0" collapsed="false">
      <c r="A27" s="3" t="s">
        <v>698</v>
      </c>
      <c r="B27" s="3" t="s">
        <v>30</v>
      </c>
      <c r="C27" s="3" t="s">
        <v>699</v>
      </c>
      <c r="D27" s="3" t="s">
        <v>700</v>
      </c>
      <c r="E27" s="3" t="s">
        <v>262</v>
      </c>
      <c r="F27" s="7" t="s">
        <v>701</v>
      </c>
      <c r="G27" s="3" t="s">
        <v>587</v>
      </c>
      <c r="H27" s="3" t="s">
        <v>264</v>
      </c>
      <c r="I27" s="8"/>
    </row>
    <row r="28" customFormat="false" ht="315.65" hidden="false" customHeight="false" outlineLevel="0" collapsed="false">
      <c r="A28" s="3" t="s">
        <v>702</v>
      </c>
      <c r="B28" s="3" t="s">
        <v>30</v>
      </c>
      <c r="C28" s="3" t="s">
        <v>703</v>
      </c>
      <c r="D28" s="3" t="s">
        <v>704</v>
      </c>
      <c r="E28" s="3" t="s">
        <v>262</v>
      </c>
      <c r="F28" s="7" t="s">
        <v>705</v>
      </c>
      <c r="G28" s="3" t="s">
        <v>587</v>
      </c>
      <c r="H28" s="3" t="s">
        <v>264</v>
      </c>
      <c r="I28" s="8"/>
    </row>
    <row r="29" customFormat="false" ht="315.65" hidden="false" customHeight="false" outlineLevel="0" collapsed="false">
      <c r="A29" s="3" t="s">
        <v>706</v>
      </c>
      <c r="B29" s="3" t="s">
        <v>30</v>
      </c>
      <c r="C29" s="3" t="s">
        <v>707</v>
      </c>
      <c r="D29" s="3" t="s">
        <v>708</v>
      </c>
      <c r="E29" s="3" t="s">
        <v>262</v>
      </c>
      <c r="F29" s="7" t="s">
        <v>709</v>
      </c>
      <c r="G29" s="3" t="s">
        <v>587</v>
      </c>
      <c r="H29" s="3" t="s">
        <v>264</v>
      </c>
      <c r="I29" s="8"/>
    </row>
    <row r="30" customFormat="false" ht="64.15" hidden="false" customHeight="false" outlineLevel="0" collapsed="false">
      <c r="A30" s="3" t="s">
        <v>710</v>
      </c>
      <c r="B30" s="3" t="s">
        <v>30</v>
      </c>
      <c r="C30" s="3" t="s">
        <v>711</v>
      </c>
      <c r="D30" s="3" t="s">
        <v>712</v>
      </c>
      <c r="E30" s="3" t="s">
        <v>713</v>
      </c>
      <c r="F30" s="7" t="s">
        <v>714</v>
      </c>
      <c r="G30" s="3" t="s">
        <v>587</v>
      </c>
      <c r="H30" s="3" t="s">
        <v>588</v>
      </c>
      <c r="I30" s="8"/>
    </row>
    <row r="31" customFormat="false" ht="315.65" hidden="false" customHeight="false" outlineLevel="0" collapsed="false">
      <c r="A31" s="3" t="s">
        <v>715</v>
      </c>
      <c r="B31" s="3" t="s">
        <v>30</v>
      </c>
      <c r="C31" s="3" t="s">
        <v>716</v>
      </c>
      <c r="D31" s="3" t="s">
        <v>717</v>
      </c>
      <c r="E31" s="3" t="s">
        <v>718</v>
      </c>
      <c r="F31" s="7" t="s">
        <v>719</v>
      </c>
      <c r="G31" s="3" t="s">
        <v>587</v>
      </c>
      <c r="H31" s="3" t="s">
        <v>392</v>
      </c>
      <c r="I31" s="8"/>
    </row>
    <row r="32" customFormat="false" ht="32.8" hidden="false" customHeight="false" outlineLevel="0" collapsed="false">
      <c r="A32" s="3" t="s">
        <v>720</v>
      </c>
      <c r="B32" s="3" t="s">
        <v>30</v>
      </c>
      <c r="C32" s="3" t="s">
        <v>721</v>
      </c>
      <c r="D32" s="3" t="s">
        <v>722</v>
      </c>
      <c r="E32" s="3" t="s">
        <v>273</v>
      </c>
      <c r="F32" s="7" t="s">
        <v>723</v>
      </c>
      <c r="G32" s="3" t="s">
        <v>587</v>
      </c>
      <c r="H32" s="3" t="s">
        <v>588</v>
      </c>
      <c r="I32" s="8"/>
    </row>
    <row r="33" customFormat="false" ht="220.85" hidden="false" customHeight="false" outlineLevel="0" collapsed="false">
      <c r="A33" s="3" t="s">
        <v>724</v>
      </c>
      <c r="B33" s="3" t="s">
        <v>30</v>
      </c>
      <c r="C33" s="3" t="s">
        <v>725</v>
      </c>
      <c r="D33" s="3" t="s">
        <v>726</v>
      </c>
      <c r="E33" s="3" t="s">
        <v>727</v>
      </c>
      <c r="F33" s="7" t="s">
        <v>728</v>
      </c>
      <c r="G33" s="3" t="s">
        <v>587</v>
      </c>
      <c r="H33" s="3" t="s">
        <v>588</v>
      </c>
      <c r="I33" s="8"/>
    </row>
    <row r="34" customFormat="false" ht="32.8" hidden="false" customHeight="false" outlineLevel="0" collapsed="false">
      <c r="A34" s="3" t="s">
        <v>729</v>
      </c>
      <c r="B34" s="3" t="s">
        <v>30</v>
      </c>
      <c r="C34" s="3" t="s">
        <v>730</v>
      </c>
      <c r="D34" s="3" t="s">
        <v>731</v>
      </c>
      <c r="E34" s="3" t="s">
        <v>273</v>
      </c>
      <c r="F34" s="7" t="s">
        <v>723</v>
      </c>
      <c r="G34" s="3" t="s">
        <v>587</v>
      </c>
      <c r="H34" s="3" t="s">
        <v>588</v>
      </c>
      <c r="I34" s="8"/>
    </row>
    <row r="35" customFormat="false" ht="85.05" hidden="false" customHeight="false" outlineLevel="0" collapsed="false">
      <c r="A35" s="3" t="s">
        <v>732</v>
      </c>
      <c r="B35" s="3" t="s">
        <v>30</v>
      </c>
      <c r="C35" s="3" t="s">
        <v>733</v>
      </c>
      <c r="D35" s="3" t="s">
        <v>734</v>
      </c>
      <c r="E35" s="3" t="s">
        <v>735</v>
      </c>
      <c r="F35" s="7" t="s">
        <v>736</v>
      </c>
      <c r="G35" s="3" t="s">
        <v>587</v>
      </c>
      <c r="H35" s="3" t="s">
        <v>588</v>
      </c>
      <c r="I35" s="8"/>
    </row>
    <row r="36" customFormat="false" ht="315.65" hidden="false" customHeight="false" outlineLevel="0" collapsed="false">
      <c r="A36" s="3" t="s">
        <v>737</v>
      </c>
      <c r="B36" s="3" t="s">
        <v>30</v>
      </c>
      <c r="C36" s="3" t="s">
        <v>738</v>
      </c>
      <c r="D36" s="3" t="s">
        <v>739</v>
      </c>
      <c r="E36" s="3" t="s">
        <v>740</v>
      </c>
      <c r="F36" s="7" t="s">
        <v>741</v>
      </c>
      <c r="G36" s="3" t="s">
        <v>587</v>
      </c>
      <c r="H36" s="3" t="s">
        <v>392</v>
      </c>
      <c r="I36" s="8"/>
    </row>
    <row r="37" customFormat="false" ht="23.85" hidden="false" customHeight="false" outlineLevel="0" collapsed="false">
      <c r="A37" s="3" t="s">
        <v>742</v>
      </c>
      <c r="B37" s="3" t="s">
        <v>30</v>
      </c>
      <c r="C37" s="3" t="s">
        <v>743</v>
      </c>
      <c r="D37" s="3" t="s">
        <v>744</v>
      </c>
      <c r="E37" s="3" t="s">
        <v>273</v>
      </c>
      <c r="F37" s="7" t="s">
        <v>745</v>
      </c>
      <c r="G37" s="3" t="s">
        <v>587</v>
      </c>
      <c r="H37" s="3" t="s">
        <v>588</v>
      </c>
      <c r="I37" s="8"/>
    </row>
    <row r="38" customFormat="false" ht="315.65" hidden="false" customHeight="false" outlineLevel="0" collapsed="false">
      <c r="A38" s="3" t="s">
        <v>746</v>
      </c>
      <c r="B38" s="3" t="s">
        <v>30</v>
      </c>
      <c r="C38" s="3" t="s">
        <v>747</v>
      </c>
      <c r="D38" s="3" t="s">
        <v>748</v>
      </c>
      <c r="E38" s="3" t="s">
        <v>262</v>
      </c>
      <c r="F38" s="7" t="s">
        <v>749</v>
      </c>
      <c r="G38" s="3" t="s">
        <v>587</v>
      </c>
      <c r="H38" s="3" t="s">
        <v>264</v>
      </c>
      <c r="I38" s="8"/>
    </row>
    <row r="39" customFormat="false" ht="315.65" hidden="false" customHeight="false" outlineLevel="0" collapsed="false">
      <c r="A39" s="3" t="s">
        <v>750</v>
      </c>
      <c r="B39" s="3" t="s">
        <v>30</v>
      </c>
      <c r="C39" s="3" t="s">
        <v>751</v>
      </c>
      <c r="D39" s="3" t="s">
        <v>752</v>
      </c>
      <c r="E39" s="3" t="s">
        <v>262</v>
      </c>
      <c r="F39" s="7" t="s">
        <v>753</v>
      </c>
      <c r="G39" s="3" t="s">
        <v>587</v>
      </c>
      <c r="H39" s="3" t="s">
        <v>264</v>
      </c>
      <c r="I39" s="8"/>
    </row>
    <row r="40" customFormat="false" ht="220.85" hidden="false" customHeight="false" outlineLevel="0" collapsed="false">
      <c r="A40" s="3" t="s">
        <v>754</v>
      </c>
      <c r="B40" s="3" t="s">
        <v>30</v>
      </c>
      <c r="C40" s="3" t="s">
        <v>755</v>
      </c>
      <c r="D40" s="3" t="s">
        <v>756</v>
      </c>
      <c r="E40" s="3" t="s">
        <v>757</v>
      </c>
      <c r="F40" s="7" t="s">
        <v>758</v>
      </c>
      <c r="G40" s="3" t="s">
        <v>587</v>
      </c>
      <c r="H40" s="3" t="s">
        <v>588</v>
      </c>
      <c r="I40" s="8"/>
    </row>
    <row r="41" customFormat="false" ht="315.65" hidden="false" customHeight="false" outlineLevel="0" collapsed="false">
      <c r="A41" s="3" t="s">
        <v>759</v>
      </c>
      <c r="B41" s="3" t="s">
        <v>30</v>
      </c>
      <c r="C41" s="3" t="s">
        <v>760</v>
      </c>
      <c r="D41" s="3" t="s">
        <v>761</v>
      </c>
      <c r="E41" s="3" t="s">
        <v>262</v>
      </c>
      <c r="F41" s="7" t="s">
        <v>762</v>
      </c>
      <c r="G41" s="3" t="s">
        <v>587</v>
      </c>
      <c r="H41" s="3" t="s">
        <v>264</v>
      </c>
      <c r="I41" s="8"/>
    </row>
    <row r="42" customFormat="false" ht="126.85" hidden="false" customHeight="false" outlineLevel="0" collapsed="false">
      <c r="A42" s="3" t="s">
        <v>763</v>
      </c>
      <c r="B42" s="3" t="s">
        <v>30</v>
      </c>
      <c r="C42" s="3" t="s">
        <v>764</v>
      </c>
      <c r="D42" s="3" t="s">
        <v>765</v>
      </c>
      <c r="E42" s="3" t="s">
        <v>766</v>
      </c>
      <c r="F42" s="7" t="s">
        <v>767</v>
      </c>
      <c r="G42" s="3" t="s">
        <v>587</v>
      </c>
      <c r="H42" s="3"/>
      <c r="I42" s="8"/>
    </row>
    <row r="43" customFormat="false" ht="74.6" hidden="false" customHeight="false" outlineLevel="0" collapsed="false">
      <c r="A43" s="3" t="s">
        <v>768</v>
      </c>
      <c r="B43" s="3" t="s">
        <v>30</v>
      </c>
      <c r="C43" s="3" t="s">
        <v>769</v>
      </c>
      <c r="D43" s="3" t="s">
        <v>770</v>
      </c>
      <c r="E43" s="3" t="s">
        <v>771</v>
      </c>
      <c r="F43" s="7" t="s">
        <v>772</v>
      </c>
      <c r="G43" s="3" t="s">
        <v>587</v>
      </c>
      <c r="H43" s="3"/>
      <c r="I43" s="8"/>
    </row>
    <row r="44" customFormat="false" ht="315.65" hidden="false" customHeight="false" outlineLevel="0" collapsed="false">
      <c r="A44" s="3" t="s">
        <v>773</v>
      </c>
      <c r="B44" s="3" t="s">
        <v>30</v>
      </c>
      <c r="C44" s="3" t="s">
        <v>774</v>
      </c>
      <c r="D44" s="3" t="s">
        <v>775</v>
      </c>
      <c r="E44" s="3" t="s">
        <v>776</v>
      </c>
      <c r="F44" s="7" t="s">
        <v>777</v>
      </c>
      <c r="G44" s="3" t="s">
        <v>587</v>
      </c>
      <c r="H44" s="3" t="s">
        <v>392</v>
      </c>
      <c r="I44" s="8"/>
    </row>
    <row r="45" customFormat="false" ht="315.65" hidden="false" customHeight="false" outlineLevel="0" collapsed="false">
      <c r="A45" s="3" t="s">
        <v>778</v>
      </c>
      <c r="B45" s="3" t="s">
        <v>30</v>
      </c>
      <c r="C45" s="3" t="s">
        <v>779</v>
      </c>
      <c r="D45" s="3" t="s">
        <v>780</v>
      </c>
      <c r="E45" s="3" t="s">
        <v>262</v>
      </c>
      <c r="F45" s="7" t="s">
        <v>781</v>
      </c>
      <c r="G45" s="3" t="s">
        <v>587</v>
      </c>
      <c r="H45" s="3" t="s">
        <v>264</v>
      </c>
      <c r="I45" s="8"/>
    </row>
    <row r="46" customFormat="false" ht="32.8" hidden="false" customHeight="false" outlineLevel="0" collapsed="false">
      <c r="A46" s="3" t="s">
        <v>782</v>
      </c>
      <c r="B46" s="3" t="s">
        <v>30</v>
      </c>
      <c r="C46" s="3" t="s">
        <v>783</v>
      </c>
      <c r="D46" s="3" t="s">
        <v>784</v>
      </c>
      <c r="E46" s="3" t="s">
        <v>785</v>
      </c>
      <c r="F46" s="7" t="s">
        <v>786</v>
      </c>
      <c r="G46" s="3" t="s">
        <v>587</v>
      </c>
      <c r="H46" s="3"/>
      <c r="I46" s="8"/>
    </row>
    <row r="47" customFormat="false" ht="315.65" hidden="false" customHeight="false" outlineLevel="0" collapsed="false">
      <c r="A47" s="3" t="s">
        <v>787</v>
      </c>
      <c r="B47" s="3" t="s">
        <v>30</v>
      </c>
      <c r="C47" s="3" t="s">
        <v>788</v>
      </c>
      <c r="D47" s="3" t="s">
        <v>789</v>
      </c>
      <c r="E47" s="3" t="s">
        <v>262</v>
      </c>
      <c r="F47" s="7" t="s">
        <v>790</v>
      </c>
      <c r="G47" s="3" t="s">
        <v>587</v>
      </c>
      <c r="H47" s="3" t="s">
        <v>264</v>
      </c>
      <c r="I47" s="8"/>
    </row>
    <row r="48" customFormat="false" ht="315.65" hidden="false" customHeight="false" outlineLevel="0" collapsed="false">
      <c r="A48" s="3" t="s">
        <v>791</v>
      </c>
      <c r="B48" s="3" t="s">
        <v>31</v>
      </c>
      <c r="C48" s="3" t="s">
        <v>792</v>
      </c>
      <c r="D48" s="3" t="s">
        <v>793</v>
      </c>
      <c r="E48" s="3" t="s">
        <v>262</v>
      </c>
      <c r="F48" s="7" t="s">
        <v>794</v>
      </c>
      <c r="G48" s="3" t="s">
        <v>587</v>
      </c>
      <c r="H48" s="3" t="s">
        <v>264</v>
      </c>
      <c r="I48" s="8"/>
    </row>
    <row r="49" customFormat="false" ht="23.85" hidden="false" customHeight="false" outlineLevel="0" collapsed="false">
      <c r="A49" s="3" t="s">
        <v>795</v>
      </c>
      <c r="B49" s="3" t="s">
        <v>31</v>
      </c>
      <c r="C49" s="3" t="s">
        <v>796</v>
      </c>
      <c r="D49" s="3" t="s">
        <v>797</v>
      </c>
      <c r="E49" s="3" t="s">
        <v>798</v>
      </c>
      <c r="F49" s="7" t="s">
        <v>799</v>
      </c>
      <c r="G49" s="3" t="s">
        <v>587</v>
      </c>
      <c r="H49" s="3"/>
      <c r="I49" s="8"/>
    </row>
    <row r="50" customFormat="false" ht="23.85" hidden="false" customHeight="false" outlineLevel="0" collapsed="false">
      <c r="A50" s="3" t="s">
        <v>800</v>
      </c>
      <c r="B50" s="3" t="s">
        <v>31</v>
      </c>
      <c r="C50" s="3" t="s">
        <v>801</v>
      </c>
      <c r="D50" s="3" t="s">
        <v>802</v>
      </c>
      <c r="E50" s="3" t="s">
        <v>803</v>
      </c>
      <c r="F50" s="7" t="s">
        <v>804</v>
      </c>
      <c r="G50" s="3" t="s">
        <v>587</v>
      </c>
      <c r="H50" s="3"/>
      <c r="I50" s="8"/>
    </row>
    <row r="51" customFormat="false" ht="53.7" hidden="false" customHeight="false" outlineLevel="0" collapsed="false">
      <c r="A51" s="3" t="s">
        <v>805</v>
      </c>
      <c r="B51" s="3" t="s">
        <v>31</v>
      </c>
      <c r="C51" s="3" t="s">
        <v>806</v>
      </c>
      <c r="D51" s="3" t="s">
        <v>807</v>
      </c>
      <c r="E51" s="3" t="s">
        <v>808</v>
      </c>
      <c r="F51" s="7" t="s">
        <v>809</v>
      </c>
      <c r="G51" s="3" t="s">
        <v>587</v>
      </c>
      <c r="H51" s="3"/>
      <c r="I51" s="8"/>
    </row>
    <row r="52" customFormat="false" ht="315.65" hidden="false" customHeight="false" outlineLevel="0" collapsed="false">
      <c r="A52" s="3" t="s">
        <v>810</v>
      </c>
      <c r="B52" s="3" t="s">
        <v>31</v>
      </c>
      <c r="C52" s="3" t="s">
        <v>668</v>
      </c>
      <c r="D52" s="3" t="s">
        <v>811</v>
      </c>
      <c r="E52" s="3" t="s">
        <v>262</v>
      </c>
      <c r="F52" s="7" t="s">
        <v>812</v>
      </c>
      <c r="G52" s="3" t="s">
        <v>587</v>
      </c>
      <c r="H52" s="3" t="s">
        <v>264</v>
      </c>
      <c r="I52" s="8"/>
    </row>
    <row r="53" customFormat="false" ht="53.7" hidden="false" customHeight="false" outlineLevel="0" collapsed="false">
      <c r="A53" s="3" t="s">
        <v>813</v>
      </c>
      <c r="B53" s="3" t="s">
        <v>31</v>
      </c>
      <c r="C53" s="3" t="s">
        <v>814</v>
      </c>
      <c r="D53" s="3" t="s">
        <v>815</v>
      </c>
      <c r="E53" s="3" t="s">
        <v>816</v>
      </c>
      <c r="F53" s="7" t="s">
        <v>817</v>
      </c>
      <c r="G53" s="3" t="s">
        <v>587</v>
      </c>
      <c r="H53" s="3"/>
      <c r="I53" s="8"/>
    </row>
    <row r="54" customFormat="false" ht="32.8" hidden="false" customHeight="false" outlineLevel="0" collapsed="false">
      <c r="A54" s="3" t="s">
        <v>818</v>
      </c>
      <c r="B54" s="3" t="s">
        <v>31</v>
      </c>
      <c r="C54" s="3" t="s">
        <v>173</v>
      </c>
      <c r="D54" s="3" t="s">
        <v>819</v>
      </c>
      <c r="E54" s="3" t="s">
        <v>820</v>
      </c>
      <c r="F54" s="7" t="s">
        <v>821</v>
      </c>
      <c r="G54" s="3" t="s">
        <v>587</v>
      </c>
      <c r="H54" s="3"/>
      <c r="I54" s="8"/>
    </row>
    <row r="55" customFormat="false" ht="315.65" hidden="false" customHeight="false" outlineLevel="0" collapsed="false">
      <c r="A55" s="3" t="s">
        <v>822</v>
      </c>
      <c r="B55" s="3" t="s">
        <v>31</v>
      </c>
      <c r="C55" s="3" t="s">
        <v>823</v>
      </c>
      <c r="D55" s="3" t="s">
        <v>824</v>
      </c>
      <c r="E55" s="3" t="s">
        <v>262</v>
      </c>
      <c r="F55" s="7" t="s">
        <v>825</v>
      </c>
      <c r="G55" s="3" t="s">
        <v>587</v>
      </c>
      <c r="H55" s="3" t="s">
        <v>264</v>
      </c>
      <c r="I55" s="8"/>
    </row>
    <row r="56" customFormat="false" ht="105.95" hidden="false" customHeight="false" outlineLevel="0" collapsed="false">
      <c r="A56" s="3" t="s">
        <v>826</v>
      </c>
      <c r="B56" s="3" t="s">
        <v>31</v>
      </c>
      <c r="C56" s="3" t="s">
        <v>827</v>
      </c>
      <c r="D56" s="3" t="s">
        <v>828</v>
      </c>
      <c r="E56" s="3" t="s">
        <v>829</v>
      </c>
      <c r="F56" s="7" t="s">
        <v>830</v>
      </c>
      <c r="G56" s="3" t="s">
        <v>587</v>
      </c>
      <c r="H56" s="3"/>
      <c r="I56" s="8"/>
    </row>
    <row r="57" customFormat="false" ht="315.65" hidden="false" customHeight="false" outlineLevel="0" collapsed="false">
      <c r="A57" s="3" t="s">
        <v>831</v>
      </c>
      <c r="B57" s="3" t="s">
        <v>31</v>
      </c>
      <c r="C57" s="3" t="s">
        <v>832</v>
      </c>
      <c r="D57" s="3" t="s">
        <v>833</v>
      </c>
      <c r="E57" s="3" t="s">
        <v>262</v>
      </c>
      <c r="F57" s="7" t="s">
        <v>834</v>
      </c>
      <c r="G57" s="3" t="s">
        <v>587</v>
      </c>
      <c r="H57" s="3" t="s">
        <v>264</v>
      </c>
      <c r="I57" s="8"/>
    </row>
    <row r="58" customFormat="false" ht="315.65" hidden="false" customHeight="false" outlineLevel="0" collapsed="false">
      <c r="A58" s="3" t="s">
        <v>835</v>
      </c>
      <c r="B58" s="3" t="s">
        <v>31</v>
      </c>
      <c r="C58" s="3" t="s">
        <v>836</v>
      </c>
      <c r="D58" s="3" t="s">
        <v>837</v>
      </c>
      <c r="E58" s="3" t="s">
        <v>262</v>
      </c>
      <c r="F58" s="7" t="s">
        <v>838</v>
      </c>
      <c r="G58" s="3" t="s">
        <v>587</v>
      </c>
      <c r="H58" s="3" t="s">
        <v>264</v>
      </c>
      <c r="I58" s="8"/>
    </row>
    <row r="59" customFormat="false" ht="315.65" hidden="false" customHeight="false" outlineLevel="0" collapsed="false">
      <c r="A59" s="3" t="s">
        <v>839</v>
      </c>
      <c r="B59" s="3" t="s">
        <v>31</v>
      </c>
      <c r="C59" s="3" t="s">
        <v>523</v>
      </c>
      <c r="D59" s="3" t="s">
        <v>840</v>
      </c>
      <c r="E59" s="3" t="s">
        <v>262</v>
      </c>
      <c r="F59" s="7" t="s">
        <v>841</v>
      </c>
      <c r="G59" s="3" t="s">
        <v>587</v>
      </c>
      <c r="H59" s="3" t="s">
        <v>264</v>
      </c>
      <c r="I59" s="8"/>
    </row>
    <row r="60" customFormat="false" ht="315.65" hidden="false" customHeight="false" outlineLevel="0" collapsed="false">
      <c r="A60" s="3" t="s">
        <v>842</v>
      </c>
      <c r="B60" s="3" t="s">
        <v>31</v>
      </c>
      <c r="C60" s="3" t="s">
        <v>843</v>
      </c>
      <c r="D60" s="3" t="s">
        <v>844</v>
      </c>
      <c r="E60" s="3" t="s">
        <v>262</v>
      </c>
      <c r="F60" s="7" t="s">
        <v>845</v>
      </c>
      <c r="G60" s="3" t="s">
        <v>587</v>
      </c>
      <c r="H60" s="3" t="s">
        <v>264</v>
      </c>
      <c r="I60" s="8"/>
    </row>
    <row r="61" customFormat="false" ht="32.8" hidden="false" customHeight="false" outlineLevel="0" collapsed="false">
      <c r="A61" s="3" t="s">
        <v>846</v>
      </c>
      <c r="B61" s="3" t="s">
        <v>32</v>
      </c>
      <c r="C61" s="3" t="s">
        <v>343</v>
      </c>
      <c r="D61" s="3" t="s">
        <v>847</v>
      </c>
      <c r="E61" s="3" t="s">
        <v>848</v>
      </c>
      <c r="F61" s="7" t="s">
        <v>849</v>
      </c>
      <c r="G61" s="3" t="s">
        <v>587</v>
      </c>
      <c r="H61" s="3" t="s">
        <v>850</v>
      </c>
      <c r="I61" s="8"/>
    </row>
    <row r="62" customFormat="false" ht="315.65" hidden="false" customHeight="false" outlineLevel="0" collapsed="false">
      <c r="A62" s="3" t="s">
        <v>851</v>
      </c>
      <c r="B62" s="3" t="s">
        <v>32</v>
      </c>
      <c r="C62" s="3" t="s">
        <v>852</v>
      </c>
      <c r="D62" s="3" t="s">
        <v>853</v>
      </c>
      <c r="E62" s="3" t="s">
        <v>262</v>
      </c>
      <c r="F62" s="7" t="s">
        <v>854</v>
      </c>
      <c r="G62" s="3" t="s">
        <v>587</v>
      </c>
      <c r="H62" s="3" t="s">
        <v>264</v>
      </c>
      <c r="I62" s="8"/>
    </row>
    <row r="63" customFormat="false" ht="23.85" hidden="false" customHeight="false" outlineLevel="0" collapsed="false">
      <c r="A63" s="3" t="s">
        <v>855</v>
      </c>
      <c r="B63" s="3" t="s">
        <v>32</v>
      </c>
      <c r="C63" s="3" t="s">
        <v>856</v>
      </c>
      <c r="D63" s="3" t="s">
        <v>857</v>
      </c>
      <c r="E63" s="3" t="s">
        <v>798</v>
      </c>
      <c r="F63" s="7" t="s">
        <v>799</v>
      </c>
      <c r="G63" s="3" t="s">
        <v>587</v>
      </c>
      <c r="H63" s="3"/>
      <c r="I63" s="8"/>
    </row>
    <row r="64" customFormat="false" ht="23.85" hidden="false" customHeight="false" outlineLevel="0" collapsed="false">
      <c r="A64" s="3" t="s">
        <v>858</v>
      </c>
      <c r="B64" s="3" t="s">
        <v>32</v>
      </c>
      <c r="C64" s="3" t="s">
        <v>658</v>
      </c>
      <c r="D64" s="3" t="s">
        <v>859</v>
      </c>
      <c r="E64" s="3" t="s">
        <v>803</v>
      </c>
      <c r="F64" s="7" t="s">
        <v>804</v>
      </c>
      <c r="G64" s="3" t="s">
        <v>587</v>
      </c>
      <c r="H64" s="3"/>
      <c r="I64" s="8"/>
    </row>
    <row r="65" customFormat="false" ht="53.7" hidden="false" customHeight="false" outlineLevel="0" collapsed="false">
      <c r="A65" s="3" t="s">
        <v>860</v>
      </c>
      <c r="B65" s="3" t="s">
        <v>32</v>
      </c>
      <c r="C65" s="3" t="s">
        <v>861</v>
      </c>
      <c r="D65" s="3" t="s">
        <v>862</v>
      </c>
      <c r="E65" s="3" t="s">
        <v>808</v>
      </c>
      <c r="F65" s="7" t="s">
        <v>809</v>
      </c>
      <c r="G65" s="3" t="s">
        <v>587</v>
      </c>
      <c r="H65" s="3"/>
      <c r="I65" s="8"/>
    </row>
    <row r="66" customFormat="false" ht="315.65" hidden="false" customHeight="false" outlineLevel="0" collapsed="false">
      <c r="A66" s="3" t="s">
        <v>863</v>
      </c>
      <c r="B66" s="3" t="s">
        <v>32</v>
      </c>
      <c r="C66" s="3" t="s">
        <v>864</v>
      </c>
      <c r="D66" s="3" t="s">
        <v>865</v>
      </c>
      <c r="E66" s="3" t="s">
        <v>262</v>
      </c>
      <c r="F66" s="7" t="s">
        <v>866</v>
      </c>
      <c r="G66" s="3" t="s">
        <v>587</v>
      </c>
      <c r="H66" s="3" t="s">
        <v>264</v>
      </c>
      <c r="I66" s="8"/>
    </row>
    <row r="67" customFormat="false" ht="53.7" hidden="false" customHeight="false" outlineLevel="0" collapsed="false">
      <c r="A67" s="3" t="s">
        <v>867</v>
      </c>
      <c r="B67" s="3" t="s">
        <v>32</v>
      </c>
      <c r="C67" s="3" t="s">
        <v>868</v>
      </c>
      <c r="D67" s="3" t="s">
        <v>869</v>
      </c>
      <c r="E67" s="3" t="s">
        <v>816</v>
      </c>
      <c r="F67" s="7" t="s">
        <v>870</v>
      </c>
      <c r="G67" s="3" t="s">
        <v>587</v>
      </c>
      <c r="H67" s="3"/>
      <c r="I67" s="8"/>
    </row>
    <row r="68" customFormat="false" ht="43.25" hidden="false" customHeight="false" outlineLevel="0" collapsed="false">
      <c r="A68" s="3" t="s">
        <v>871</v>
      </c>
      <c r="B68" s="3" t="s">
        <v>32</v>
      </c>
      <c r="C68" s="3" t="s">
        <v>872</v>
      </c>
      <c r="D68" s="3" t="s">
        <v>873</v>
      </c>
      <c r="E68" s="3" t="s">
        <v>874</v>
      </c>
      <c r="F68" s="7" t="s">
        <v>875</v>
      </c>
      <c r="G68" s="3" t="s">
        <v>587</v>
      </c>
      <c r="H68" s="3" t="s">
        <v>588</v>
      </c>
      <c r="I68" s="8"/>
    </row>
    <row r="69" customFormat="false" ht="315.65" hidden="false" customHeight="false" outlineLevel="0" collapsed="false">
      <c r="A69" s="3" t="s">
        <v>876</v>
      </c>
      <c r="B69" s="3" t="s">
        <v>32</v>
      </c>
      <c r="C69" s="3" t="s">
        <v>877</v>
      </c>
      <c r="D69" s="3" t="s">
        <v>878</v>
      </c>
      <c r="E69" s="3" t="s">
        <v>262</v>
      </c>
      <c r="F69" s="7" t="s">
        <v>879</v>
      </c>
      <c r="G69" s="3" t="s">
        <v>587</v>
      </c>
      <c r="H69" s="3" t="s">
        <v>264</v>
      </c>
      <c r="I69" s="8"/>
    </row>
    <row r="70" customFormat="false" ht="126.85" hidden="false" customHeight="false" outlineLevel="0" collapsed="false">
      <c r="A70" s="3" t="s">
        <v>880</v>
      </c>
      <c r="B70" s="3" t="s">
        <v>32</v>
      </c>
      <c r="C70" s="3" t="s">
        <v>881</v>
      </c>
      <c r="D70" s="3" t="s">
        <v>882</v>
      </c>
      <c r="E70" s="3" t="s">
        <v>883</v>
      </c>
      <c r="F70" s="7" t="s">
        <v>884</v>
      </c>
      <c r="G70" s="3" t="s">
        <v>587</v>
      </c>
      <c r="H70" s="3"/>
      <c r="I70" s="8"/>
    </row>
    <row r="71" customFormat="false" ht="168.65" hidden="false" customHeight="false" outlineLevel="0" collapsed="false">
      <c r="A71" s="3" t="s">
        <v>885</v>
      </c>
      <c r="B71" s="3" t="s">
        <v>32</v>
      </c>
      <c r="C71" s="3" t="s">
        <v>886</v>
      </c>
      <c r="D71" s="3" t="s">
        <v>887</v>
      </c>
      <c r="E71" s="3" t="s">
        <v>888</v>
      </c>
      <c r="F71" s="7" t="s">
        <v>889</v>
      </c>
      <c r="G71" s="3" t="s">
        <v>587</v>
      </c>
      <c r="H71" s="3"/>
      <c r="I71" s="8"/>
    </row>
    <row r="72" customFormat="false" ht="315.65" hidden="false" customHeight="false" outlineLevel="0" collapsed="false">
      <c r="A72" s="3" t="s">
        <v>890</v>
      </c>
      <c r="B72" s="3" t="s">
        <v>32</v>
      </c>
      <c r="C72" s="3" t="s">
        <v>891</v>
      </c>
      <c r="D72" s="3" t="s">
        <v>892</v>
      </c>
      <c r="E72" s="3" t="s">
        <v>262</v>
      </c>
      <c r="F72" s="7" t="s">
        <v>893</v>
      </c>
      <c r="G72" s="3" t="s">
        <v>587</v>
      </c>
      <c r="H72" s="3" t="s">
        <v>264</v>
      </c>
      <c r="I72" s="8"/>
    </row>
    <row r="73" customFormat="false" ht="315.65" hidden="false" customHeight="false" outlineLevel="0" collapsed="false">
      <c r="A73" s="3" t="s">
        <v>894</v>
      </c>
      <c r="B73" s="3" t="s">
        <v>32</v>
      </c>
      <c r="C73" s="3" t="s">
        <v>895</v>
      </c>
      <c r="D73" s="3" t="s">
        <v>896</v>
      </c>
      <c r="E73" s="3" t="s">
        <v>262</v>
      </c>
      <c r="F73" s="7" t="s">
        <v>897</v>
      </c>
      <c r="G73" s="3" t="s">
        <v>587</v>
      </c>
      <c r="H73" s="3" t="s">
        <v>264</v>
      </c>
      <c r="I73" s="8"/>
    </row>
    <row r="74" customFormat="false" ht="315.65" hidden="false" customHeight="false" outlineLevel="0" collapsed="false">
      <c r="A74" s="3" t="s">
        <v>898</v>
      </c>
      <c r="B74" s="3" t="s">
        <v>32</v>
      </c>
      <c r="C74" s="3" t="s">
        <v>899</v>
      </c>
      <c r="D74" s="3" t="s">
        <v>900</v>
      </c>
      <c r="E74" s="3" t="s">
        <v>262</v>
      </c>
      <c r="F74" s="7" t="s">
        <v>901</v>
      </c>
      <c r="G74" s="3" t="s">
        <v>587</v>
      </c>
      <c r="H74" s="3" t="s">
        <v>264</v>
      </c>
      <c r="I74" s="8"/>
    </row>
    <row r="75" customFormat="false" ht="315.65" hidden="false" customHeight="false" outlineLevel="0" collapsed="false">
      <c r="A75" s="3" t="s">
        <v>902</v>
      </c>
      <c r="B75" s="3" t="s">
        <v>32</v>
      </c>
      <c r="C75" s="3" t="s">
        <v>903</v>
      </c>
      <c r="D75" s="3" t="s">
        <v>904</v>
      </c>
      <c r="E75" s="3" t="s">
        <v>262</v>
      </c>
      <c r="F75" s="7" t="s">
        <v>905</v>
      </c>
      <c r="G75" s="3" t="s">
        <v>587</v>
      </c>
      <c r="H75" s="3" t="s">
        <v>264</v>
      </c>
      <c r="I75" s="8"/>
    </row>
    <row r="76" customFormat="false" ht="116.4" hidden="false" customHeight="false" outlineLevel="0" collapsed="false">
      <c r="A76" s="3" t="s">
        <v>906</v>
      </c>
      <c r="B76" s="3" t="s">
        <v>32</v>
      </c>
      <c r="C76" s="3" t="s">
        <v>907</v>
      </c>
      <c r="D76" s="3" t="s">
        <v>908</v>
      </c>
      <c r="E76" s="3" t="s">
        <v>909</v>
      </c>
      <c r="F76" s="7" t="s">
        <v>910</v>
      </c>
      <c r="G76" s="3" t="s">
        <v>587</v>
      </c>
      <c r="H76" s="3"/>
      <c r="I76" s="8"/>
    </row>
  </sheetData>
  <autoFilter ref="A1:I76"/>
  <dataValidations count="1">
    <dataValidation allowBlank="true" errorStyle="stop" operator="between" showDropDown="false" showErrorMessage="false" showInputMessage="false" sqref="I2:I76" type="list">
      <formula1>"Manter descartado,Reincluir"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2026-09-20T17:27:42Z</dcterms:created>
  <dc:creator>openpyxl</dc:creator>
  <dc:description/>
  <dc:language>en-US</dc:language>
  <cp:lastModifiedBy/>
  <dcterms:modified xsi:type="dcterms:W3CDTF">2026-09-20T17:27:42Z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