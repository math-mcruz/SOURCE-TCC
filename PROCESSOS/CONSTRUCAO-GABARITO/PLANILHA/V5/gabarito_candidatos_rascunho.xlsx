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a" sheetId="1" r:id="rId5"/>
    <sheet state="visible" name="Resumo" sheetId="2" r:id="rId6"/>
    <sheet state="visible" name="Candidatos" sheetId="3" r:id="rId7"/>
    <sheet state="visible" name="Descartados" sheetId="4" r:id="rId8"/>
  </sheets>
  <definedNames>
    <definedName hidden="1" localSheetId="2" name="_xlnm._FilterDatabase">Candidatos!$A$1:$M$121</definedName>
    <definedName hidden="1" localSheetId="3" name="_xlnm._FilterDatabase">Descartados!$A$1:$I$76</definedName>
  </definedNames>
  <calcPr/>
</workbook>
</file>

<file path=xl/sharedStrings.xml><?xml version="1.0" encoding="utf-8"?>
<sst xmlns="http://schemas.openxmlformats.org/spreadsheetml/2006/main" count="2035" uniqueCount="1038">
  <si>
    <t>Gabarito (ground-truth)</t>
  </si>
  <si>
    <t>Origem</t>
  </si>
  <si>
    <t>Programas da CBSA na pasta ORIGINAL do repositório da base de dados (commit e22475691524ef72a92ee77f7040233e098ab1b9, ijmitch/cics-banking-sample-application-cbsa). Números de linha referem-se aos arquivos do ORIGINAL.</t>
  </si>
  <si>
    <t>Programa</t>
  </si>
  <si>
    <t>ID</t>
  </si>
  <si>
    <t>Como foi gerado</t>
  </si>
  <si>
    <t>Extração automática (script monta_planilha.py). Cada bloco de comentário da PROCEDURE DIVISION é pareado ao código que o segue, até o próximo comentário (limite de 30 linhas por trecho).</t>
  </si>
  <si>
    <t>Linhas do comentário</t>
  </si>
  <si>
    <t>Blocos com texto</t>
  </si>
  <si>
    <t>Linhas do código</t>
  </si>
  <si>
    <t>Filtro (E4, seção 1.3)</t>
  </si>
  <si>
    <t>Candidatos retidos</t>
  </si>
  <si>
    <t>Comentário</t>
  </si>
  <si>
    <t>Retido: trecho com IF, EVALUATE ou WHEN, ou com tratamento de falha (ABEND, SQLCODE, HANDLE, DFHRESP, EIBRESP, EIBRCODE). O filtro é sintático: trechos de infraestrutura pura (rollback, ABEND de DB2/VSAM, storm drain) também aparecem aqui, porque contêm essas palavras-chave, a exclusão semântica é feita na revisão manual (coluna Categoria), não pelo script. Os demais (sem decisão nem falha) ficam na aba Descartados, para que o critério seja auditável.</t>
  </si>
  <si>
    <t>Trecho de código</t>
  </si>
  <si>
    <t>Descartados</t>
  </si>
  <si>
    <t>O que preencher</t>
  </si>
  <si>
    <t>Motivo do descarte</t>
  </si>
  <si>
    <t>Aba Candidatos, colunas J a M (fundo amarelo): Regra de negócio extraída, Categoria, Status e Observação, mesmas colunas usadas na revisão manual do DBCRFUN. Na aba Descartados, coluna I.</t>
  </si>
  <si>
    <t>Alertas</t>
  </si>
  <si>
    <t>Decisão</t>
  </si>
  <si>
    <t>Valores da revisão</t>
  </si>
  <si>
    <t>Reavaliação</t>
  </si>
  <si>
    <t>Falha</t>
  </si>
  <si>
    <t>Categoria: regra de negócio, infraestrutura (excluída) ou a discutir (lista suspensa). Status: A validar ou Validado. Em Descartados: Manter descartado ou Reincluir.</t>
  </si>
  <si>
    <t>DBCRFUN-002</t>
  </si>
  <si>
    <t>Decisão e falha</t>
  </si>
  <si>
    <t>DBCRFUN</t>
  </si>
  <si>
    <t>Com alertas</t>
  </si>
  <si>
    <t>215-221</t>
  </si>
  <si>
    <t>Tipo</t>
  </si>
  <si>
    <t>possível código desativado: o comentário parece uma instrução COBOL comentada. comentário curto: até 3 palavras. trecho truncado: o código do par passa do limite de linhas; conferir o restante no fonte. comentários adjacentes fundidos: o bloco seguinte de comentário foi unido porque o trecho entre eles não tinha código ativo. comentário menciona condição (aba Descartados): o comentário descreve uma condição, mas o trecho seguinte é só ação; a decisão pode estar antes no fonte.</t>
  </si>
  <si>
    <t>223</t>
  </si>
  <si>
    <t>Estruturas</t>
  </si>
  <si>
    <t>Regra de negócio</t>
  </si>
  <si>
    <t>Limitações</t>
  </si>
  <si>
    <t>Determine what kind of ACCOUNT datastore we should be accessing Go and update the ACCOUNT record</t>
  </si>
  <si>
    <t>Infraestrutura (excluída)</t>
  </si>
  <si>
    <t>A triagem é heurística e não substitui a revisão dupla. Comentários de cabeçalho (antes da PROCEDURE DIVISION) não entram. Linhas de depuração (indicador D) aparecem com o prefixo [D]. O tipo (Decisão, Falha, Decisão e falha) é atribuído ao trecho inteiro, não ao comentário isolado.</t>
  </si>
  <si>
    <t>Regra de negócio extraída</t>
  </si>
  <si>
    <t xml:space="preserve">     PERFORM UPDATE-ACCOUNT-DB2.</t>
  </si>
  <si>
    <t>Categoria</t>
  </si>
  <si>
    <t>A discutir</t>
  </si>
  <si>
    <t>Exemplo de regra atômica</t>
  </si>
  <si>
    <t>Status</t>
  </si>
  <si>
    <t>Procedural (sem decisão nem tratamento de falha)</t>
  </si>
  <si>
    <t>Validados</t>
  </si>
  <si>
    <t>Observação</t>
  </si>
  <si>
    <t>Ilustrativo, não faz parte do gabarito: "Se o valor solicitado for um débito e o saldo disponível for insuficiente, a solicitação é negada." (uma condição e uma consequência por regra)</t>
  </si>
  <si>
    <t>Pendentes</t>
  </si>
  <si>
    <t>comentário menciona condição: reavaliar</t>
  </si>
  <si>
    <t>DBCRFUN-001</t>
  </si>
  <si>
    <t>205</t>
  </si>
  <si>
    <t>207-212</t>
  </si>
  <si>
    <t>Set up some Abend handling</t>
  </si>
  <si>
    <t>Rascunho (assistente)</t>
  </si>
  <si>
    <t xml:space="preserve">    EXEC CICS HANDLE ABEND
       LABEL(ABEND-HANDLING)
    END-EXEC.
    MOVE SORTCODE TO COMM-SORTC.
    MOVE SORTCODE TO DESIRED-SORT-CODE.</t>
  </si>
  <si>
    <t>Colunas J, K e M preenchidas como rascunho em fonte azul; a Observação inicia por '[Rascunho]'. Status mantido em 'A validar'. Ao conferir uma linha no fonte, ajustar o texto, trocar a fonte para preta e atualizar o Status. Linhas com a categoria 'a discutir' ou 'infraestrutura (excluída)' sem regra em J são sugestões de classificação, não decisões.</t>
  </si>
  <si>
    <t>falha</t>
  </si>
  <si>
    <t>Manter descartado</t>
  </si>
  <si>
    <t>DBCRFUN-003</t>
  </si>
  <si>
    <t>225-226</t>
  </si>
  <si>
    <t>229-240</t>
  </si>
  <si>
    <t>The COMMAREA values have now been set so all we need to do is finish</t>
  </si>
  <si>
    <t>infraestrutura (excluída)</t>
  </si>
  <si>
    <t xml:space="preserve">    PERFORM GET-ME-OUT-OF-HERE.
A999.
    EXIT.
UPDATE-ACCOUNT-DB2 SECTION.
UAD010.
    MOVE COMM-ACCNO TO DESIRED-ACC-NO.
    MOVE DESIRED-SORT-CODE TO HV-ACCOUNT-SORTCODE.
    MOVE DESIRED-ACC-NO TO HV-ACCOUNT-ACC-NO.</t>
  </si>
  <si>
    <t>DBCRFUN-004</t>
  </si>
  <si>
    <t>243</t>
  </si>
  <si>
    <t>Validado</t>
  </si>
  <si>
    <t>245-273</t>
  </si>
  <si>
    <t>Retrieve the account information</t>
  </si>
  <si>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</si>
  <si>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Configuração do tratamento de ABEND (HANDLE ABEND) e cópia do código da agência (SORTCODE), sem decisão de negócio.</t>
  </si>
  <si>
    <t>DBCRFUN-006</t>
  </si>
  <si>
    <t>DBCRFUN-005</t>
  </si>
  <si>
    <t>290-291</t>
  </si>
  <si>
    <t>293-297</t>
  </si>
  <si>
    <t>276-277</t>
  </si>
  <si>
    <t>Check if SQLCODE indicates that Storm Drain processing is applicable in a workload if activated</t>
  </si>
  <si>
    <t>279-287</t>
  </si>
  <si>
    <t xml:space="preserve">       PERFORM CHECK-FOR-STORM-DRAIN-DB2
       GO TO UAD999
    END-IF.</t>
  </si>
  <si>
    <t>Check that select was successful. If it wasn't then deal with it</t>
  </si>
  <si>
    <t xml:space="preserve">    IF SQLCODE NOT = 0
       MOVE 'N' TO COMM-SUCCESS
       IF SQLCODE = +100
          MOVE '1' TO COMM-FAIL-CODE
       ELSE
          MOVE '2' TO COMM-FAIL-CODE
       END-IF</t>
  </si>
  <si>
    <t>IF, falha</t>
  </si>
  <si>
    <t xml:space="preserve">Se a conta solicitada não for encontrada (SQLCODE igual a +100), a operação é sinalizada como malsucedida com o código de falha '1'.
</t>
  </si>
  <si>
    <t>DBCRFUN-010</t>
  </si>
  <si>
    <t>regra de negócio</t>
  </si>
  <si>
    <t>380-382</t>
  </si>
  <si>
    <t>384-387</t>
  </si>
  <si>
    <t>If the SQLCODE from the SELECT is OK then update the record and update the details on the PROCTRAN (Processed transaction) datastore.</t>
  </si>
  <si>
    <t>O código '1' tem semântica de domínio. O código '2' é mais próximo de falha técnica de DB2. O IF externo termina na DBCRFUN-006 (Descartados): PERFORM CHECK-FOR-STORM-DRAIN-DB2 e GO TO UAD999 (infraestrutura).</t>
  </si>
  <si>
    <t xml:space="preserve">    COMPUTE HV-ACCOUNT-AVAIL-BAL =
       HV-ACCOUNT-AVAIL-BAL + COMM-AMT.
    COMPUTE HV-ACCOUNT-ACTUAL-BAL =
       HV-ACCOUNT-ACTUAL-BAL + COMM-AMT.</t>
  </si>
  <si>
    <t>DBCRFUN-007</t>
  </si>
  <si>
    <t>301-304</t>
  </si>
  <si>
    <t>307</t>
  </si>
  <si>
    <t>Reincluir</t>
  </si>
  <si>
    <t>Is the amount being requested a debit or a credit? If it is a CREDIT (+) then we don't need to ensure that the available balance has sufficient funds, because this is money coming in.</t>
  </si>
  <si>
    <t>DBCRFUN-011</t>
  </si>
  <si>
    <t xml:space="preserve">    IF COMM-AMT &lt; 0</t>
  </si>
  <si>
    <t>390</t>
  </si>
  <si>
    <t>IF</t>
  </si>
  <si>
    <t>392-408</t>
  </si>
  <si>
    <t>Se o valor solicitado for crédito (não negativo), a suficiência do saldo disponível não é verificada.</t>
  </si>
  <si>
    <t>Update the account record</t>
  </si>
  <si>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</si>
  <si>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O código contém só a condição (COMM-AMT &lt; 0); as consequências do débito estão na DBCRFUN-008. Não há ELSE: crédito e valor zero não entram no bloco. A checagem de MORTGAGE/LOAN reaparece após o END-IF (DBCRFUN-009).</t>
  </si>
  <si>
    <t>DBCRFUN-008</t>
  </si>
  <si>
    <t>309-328</t>
  </si>
  <si>
    <t>316-352</t>
  </si>
  <si>
    <t>DBCRFUN-014</t>
  </si>
  <si>
    <t>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</si>
  <si>
    <t>429-430</t>
  </si>
  <si>
    <t>[D]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</si>
  <si>
    <t>432-435</t>
  </si>
  <si>
    <t>comentários adjacentes fundidos</t>
  </si>
  <si>
    <t>1. Se o valor solicitado for um débito, a solicitação vier por pagamento (COMM-FACILTYPE igual a 496) e a conta for do tipo MORTGAGE ou LOAN, a solicitação é negada com o código de falha '4'.
2. Se o valor solicitado for um débito, a solicitação vier por pagamento (COMM-FACILTYPE igual a 496) e o saldo disponível após o débito for negativo, a solicitação é negada com o código de falha '3'.</t>
  </si>
  <si>
    <t>DBCRFUN-015</t>
  </si>
  <si>
    <t>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</si>
  <si>
    <t>DBCRFUN-009</t>
  </si>
  <si>
    <t>438-439</t>
  </si>
  <si>
    <t>441-448</t>
  </si>
  <si>
    <t>356-366</t>
  </si>
  <si>
    <t>368-376</t>
  </si>
  <si>
    <t>If the RESP CODE was normal then we need to write to the PROCTRAN (processed transaction) datastore.</t>
  </si>
  <si>
    <t>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</si>
  <si>
    <t xml:space="preserve">    PERFORM WRITE-TO-PROCTRAN.
UAD999.
    EXIT.
WRITE-TO-PROCTRAN SECTION.
WTP010.</t>
  </si>
  <si>
    <t xml:space="preserve">    IF (HV-ACCOUNT-ACC-TYPE = 'MORTGAGE' AND
    COMM-FACILTYPE = 496)
    OR (HV-ACCOUNT-ACC-TYPE = 'LOAN    '
    AND COMM-FACILTYPE = 496)
       MOVE 'N' TO COMM-SUCCESS
       MOVE '4' TO COMM-FAIL-CODE
       GO TO UAD999
    END-IF.</t>
  </si>
  <si>
    <t>Se a solicitação vier por pagamento (COMM-FACILTYPE igual a 496) e a conta for do tipo MORTGAGE ou LOAN, a solicitação é negada com o código de falha '4'.</t>
  </si>
  <si>
    <t>DBCRFUN-016</t>
  </si>
  <si>
    <t>Mesma condição da regra 1 da DBCRFUN-008, repetida fora do bloco de débito (após o END-IF). Como o débito já sai por GO TO UAD999 na 008, esta checagem só alcança créditos na prática, embora o código não teste o sinal do valor (o comentário fala em 'Credit'). O comentário cita 'remove the record lock', sem comando correspondente. Mantida como entrada separada (critério de não fundir duplicatas); conferir fonte, linhas 356-376.</t>
  </si>
  <si>
    <t>451-452</t>
  </si>
  <si>
    <t>DBCRFUN-012</t>
  </si>
  <si>
    <t>454-470</t>
  </si>
  <si>
    <t>411-412</t>
  </si>
  <si>
    <t>Write to the PROCTRAN datastore deatils regarding the successfully applied transaction.</t>
  </si>
  <si>
    <t>414-419</t>
  </si>
  <si>
    <t>If the rewrite was successful then we need to pass back the amended available balance and actual balance.</t>
  </si>
  <si>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</si>
  <si>
    <t xml:space="preserve">    MOVE SQLCODE TO SQLCODE-DISPLAY.
    MOVE HV-ACCOUNT-AVAIL-BAL TO
       COMM-AV-BAL.
    MOVE HV-ACCOUNT-ACTUAL-BAL TO
       COMM-ACT-BAL.</t>
  </si>
  <si>
    <t>DBCRFUN-020</t>
  </si>
  <si>
    <t>Sem estrutura de decisão (retido por conter 'SQLCODE'); O comentário diz 'if the rewrite was successful', mas os MOVE de saldos ocorrem sem condição, antes do IF SQLCODE NOT = 0 (DBCRFUN-013): os saldos são devolvidos mesmo se a atualização falhar.</t>
  </si>
  <si>
    <t>522</t>
  </si>
  <si>
    <t>DBCRFUN-013</t>
  </si>
  <si>
    <t>524-549</t>
  </si>
  <si>
    <t>Write a record to PROCTRAN</t>
  </si>
  <si>
    <t>422-423</t>
  </si>
  <si>
    <t>425-427</t>
  </si>
  <si>
    <t>If the RESP CODE was NOT OK then we need to set flags accordingly</t>
  </si>
  <si>
    <t xml:space="preserve">    IF SQLCODE NOT = 0
       MOVE 'N' TO COMM-SUCCESS
       MOVE '2' TO COMM-FAIL-CODE</t>
  </si>
  <si>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</si>
  <si>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DBCRFUN-024</t>
  </si>
  <si>
    <t>Falha técnica de DB2 na atualização, da mesma natureza do código '2' da DBCRFUN-005: decidir as duas em conjunto. O código '2' chega ao usuário como 'unexpected error' (BNK1CRA-025). O trecho termina antes do tratamento de storm drain (DBCRFUN-014, Descartados).</t>
  </si>
  <si>
    <t>DBCRFUN-017</t>
  </si>
  <si>
    <t>580</t>
  </si>
  <si>
    <t>473</t>
  </si>
  <si>
    <t>475-493</t>
  </si>
  <si>
    <t>582-618</t>
  </si>
  <si>
    <t>Populate the current time and date</t>
  </si>
  <si>
    <t>Get supplemental information</t>
  </si>
  <si>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</si>
  <si>
    <t>Se o valor solicitado for negativo (débito), a transação registrada recebe o tipo 'DEB' e a descrição 'COUNTER WTHDRW'.</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</si>
  <si>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t>
  </si>
  <si>
    <t>comentário curto; trecho truncado (30 linhas)</t>
  </si>
  <si>
    <t>O trecho inclui ASKTIME/FORMATTIME (data e hora da transação; procedural, fora da regra). O tipo 'DEB' é sobrescrito por 'PDR' quando a solicitação vem por pagamento (DBCRFUN-018). O ELSE de crédito ('CRE') também está na 018. A condição COMM-AMT &lt; 0 repete a da DBCRFUN-007.</t>
  </si>
  <si>
    <t>DBCRFUN-018</t>
  </si>
  <si>
    <t>496</t>
  </si>
  <si>
    <t>498-506</t>
  </si>
  <si>
    <t>DBCRFUN-025</t>
  </si>
  <si>
    <t>If it is a debit from a PAYMENT</t>
  </si>
  <si>
    <t>639-640</t>
  </si>
  <si>
    <t xml:space="preserve">       IF COMM-FACILTYPE = 496
          MOVE 'PDR' TO HV-PROCTRAN-TYPE
          MOVE COMM-ORIGIN(1:14) TO
             HV-PROCTRAN-DESC
       END-IF
    ELSE
       MOVE 'CRE' TO HV-PROCTRAN-TYPE
       MOVE 'COUNTER RECVED' TO HV-PROCTRAN-DESC</t>
  </si>
  <si>
    <t>642-644</t>
  </si>
  <si>
    <t xml:space="preserve">       PERFORM CHECK-FOR-STORM-DRAIN-DB2
    ELSE</t>
  </si>
  <si>
    <t>1. Se o valor solicitado for um débito feito por pagamento (COMM-FACILTYPE igual a 496), o tipo da transação registrada passa a 'PDR' e a descrição recebe os 14 primeiros caracteres da origem (COMM-ORIGIN).
2. Se o valor solicitado for crédito (não negativo), a transação registrada recebe o tipo 'CRE' e a descrição 'COUNTER RECVED'.</t>
  </si>
  <si>
    <t>O ELSE fecha o IF COMM-AMT &lt; 0 aberto na DBCRFUN-017; o comentário cobre apenas a regra 1. Linha vale por duas regras.</t>
  </si>
  <si>
    <t>DBCRFUN-019</t>
  </si>
  <si>
    <t>509</t>
  </si>
  <si>
    <t>511-519</t>
  </si>
  <si>
    <t>DBCRFUN-026</t>
  </si>
  <si>
    <t>If it is a credit from a PAYMENT</t>
  </si>
  <si>
    <t xml:space="preserve">       IF COMM-FACILTYPE = 496
          MOVE 'PCR' TO HV-PROCTRAN-TYPE
          MOVE COMM-ORIGIN(1:14) TO
             HV-PROCTRAN-DESC
       END-IF
    END-IF.
    MOVE COMM-AMT TO HV-PROCTRAN-AMOUNT.</t>
  </si>
  <si>
    <t>647</t>
  </si>
  <si>
    <t>649-669</t>
  </si>
  <si>
    <t>If the WRITE to PROCTRAN worked then it was a success</t>
  </si>
  <si>
    <t>Se o valor solicitado for um crédito feito por pagamento (COMM-FACILTYPE igual a 496), o tipo da transação registrada passa a 'PCR' e a descrição recebe os 14 primeiros caracteres da origem (COMM-ORIGIN).</t>
  </si>
  <si>
    <t xml:space="preserve">       MOVE 'Y' TO COMM-SUCCESS
       MOVE '0' TO COMM-FAIL-CODE
    END-IF.
WTPD999.
    EXIT.
GET-ME-OUT-OF-HERE SECTION.
GMOOH010.
    EXEC CICS RETURN
    END-EXEC.
    GOBACK.
GMOOH999.
    EXIT.
CHECK-FOR-STORM-DRAIN-DB2 SECTION.
CFSDD010.</t>
  </si>
  <si>
    <t>IF aninhado no ramo de crédito (ELSE da 018). O MOVE COMM-AMT TO HV-PROCTRAN-AMOUNT ao final é procedural e fica fora da regra.</t>
  </si>
  <si>
    <t>DBCRFUN-021</t>
  </si>
  <si>
    <t>552</t>
  </si>
  <si>
    <t>DBCRFUN-028</t>
  </si>
  <si>
    <t>554-559</t>
  </si>
  <si>
    <t>Check the SQLCODE</t>
  </si>
  <si>
    <t>699</t>
  </si>
  <si>
    <t xml:space="preserve">    IF SQLCODE NOT = 0
       MOVE SQLCODE TO SQLCODE-DISPLAY
       DISPLAY 'UNABLE TO WRITE TO PROCTRAN DB2 DATASTORE'
       ' SQLCODE=' SQLCODE-DISPLAY
       'WITH THE FOLLOWING DATA:' HOST-PROCTRAN-ROW</t>
  </si>
  <si>
    <t>701-705</t>
  </si>
  <si>
    <t>How ABENDs are dealt with</t>
  </si>
  <si>
    <t>comentário curto</t>
  </si>
  <si>
    <t>ABEND-HANDLING SECTION.
AH010.
    EXEC CICS ASSIGN ABCODE(MY-ABEND-CODE)
    END-EXEC.</t>
  </si>
  <si>
    <t>DBCRFUN-033</t>
  </si>
  <si>
    <t>Falha na gravação em PROCTRAN (DB2): exibe diagnóstico; o rollback (022) e o ABEND (023) completam o tratamento. Falha técnica, fora do escopo pelo critério de infraestrutura. O efeito (operação desfeita se o registro falhar) é regra de consistência.</t>
  </si>
  <si>
    <t>DBCRFUN-022</t>
  </si>
  <si>
    <t>767</t>
  </si>
  <si>
    <t>769-805</t>
  </si>
  <si>
    <t>561-562</t>
  </si>
  <si>
    <t>564-569</t>
  </si>
  <si>
    <t>You need to issue a ROLLBACK to get rid of the updated ACCOUNT record</t>
  </si>
  <si>
    <t xml:space="preserve">       EXEC CICS SYNCPOINT ROLLBACK
          RESP(WS-CICS-RESP)
          RESP2(WS-CICS-RESP2)
       END-EXEC
       IF WS-CICS-RESP NOT = DFHRESP(NORMAL)</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</si>
  <si>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t>
  </si>
  <si>
    <t>Rollback da atualização da conta (SYNCPOINT ROLLBACK) e verificação do RESP; infraestrutura transacional.</t>
  </si>
  <si>
    <t>DBCRFUN-023</t>
  </si>
  <si>
    <t>XFRFUN-002</t>
  </si>
  <si>
    <t>571-574</t>
  </si>
  <si>
    <t>XFRFUN</t>
  </si>
  <si>
    <t>576-578</t>
  </si>
  <si>
    <t>299-300</t>
  </si>
  <si>
    <t>Preserve the RESP and RESP2, then set up the standard ABEND info before getting the applid, date/time etc. and linking to the Abend Handler program.</t>
  </si>
  <si>
    <t>302-311</t>
  </si>
  <si>
    <t xml:space="preserve">          INITIALIZE ABNDINFO-REC
          MOVE EIBRESP    TO ABND-RESPCODE
          MOVE EIBRESP2   TO ABND-RESP2CODE</t>
  </si>
  <si>
    <t xml:space="preserve">    PERFORM GET-ME-OUT-OF-HERE.
A999.
    EXIT.
UPDATE-ACCOUNT-DB2 SECTION.
UAD010.
    MOVE 'N' TO COMM-SUCCESS.</t>
  </si>
  <si>
    <t>Montagem padrão das informações de ABEND (INITIALIZE ABNDINFO-REC; MOVE EIBRESP/EIBRESP2); tratamento técnico sem semântica bancária.</t>
  </si>
  <si>
    <t>DBCRFUN-027</t>
  </si>
  <si>
    <t>XFRFUN-005</t>
  </si>
  <si>
    <t>671-672</t>
  </si>
  <si>
    <t>675-695</t>
  </si>
  <si>
    <t>328</t>
  </si>
  <si>
    <t>330-368</t>
  </si>
  <si>
    <t>Check if the Sqclode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</si>
  <si>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</si>
  <si>
    <t>IF, EVALUATE, WHEN, falha</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</si>
  <si>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t>
  </si>
  <si>
    <t>Verificação de condição de storm drain do DB2 (EVALUATE SQLCODE, WHEN 923); infraestrutura.</t>
  </si>
  <si>
    <t>XFRFUN-006</t>
  </si>
  <si>
    <t>DBCRFUN-029</t>
  </si>
  <si>
    <t>380-381</t>
  </si>
  <si>
    <t>708-713</t>
  </si>
  <si>
    <t>383-384</t>
  </si>
  <si>
    <t>716</t>
  </si>
  <si>
    <t>If the FROM account number is less than the TO account number</t>
  </si>
  <si>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</si>
  <si>
    <t xml:space="preserve">       MOVE COMM-FACCNO TO DESIRED-ACC-NO
       MOVE COMM-FSCODE TO DESIRED-SORT-CODE</t>
  </si>
  <si>
    <t xml:space="preserve">    EVALUATE MY-ABEND-CODE</t>
  </si>
  <si>
    <t>EVALUATE</t>
  </si>
  <si>
    <t>XFRFUN-007</t>
  </si>
  <si>
    <t>387</t>
  </si>
  <si>
    <t>389</t>
  </si>
  <si>
    <t>Avaliação do código de ABEND (EVALUATE MY-ABEND-CODE) para diagnóstico e storm drain de DB2 e VSAM; infraestrutura.</t>
  </si>
  <si>
    <t>Update the FROM account</t>
  </si>
  <si>
    <t>DBCRFUN-030</t>
  </si>
  <si>
    <t xml:space="preserve">       PERFORM UPDATE-ACCOUNT-DB2-FROM</t>
  </si>
  <si>
    <t>718</t>
  </si>
  <si>
    <t>720-735</t>
  </si>
  <si>
    <t>DB2 AD2Z abend</t>
  </si>
  <si>
    <t>XFRFUN-011</t>
  </si>
  <si>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</si>
  <si>
    <t>424</t>
  </si>
  <si>
    <t>426-463</t>
  </si>
  <si>
    <t>WHEN, falha</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</si>
  <si>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t>
  </si>
  <si>
    <t>Tratamento do ABEND AD2Z (deadlock DB2) com exibição de diagnósticos; infraestrutura.</t>
  </si>
  <si>
    <t>DBCRFUN-031</t>
  </si>
  <si>
    <t>738-740</t>
  </si>
  <si>
    <t>XFRFUN-016</t>
  </si>
  <si>
    <t>742-756</t>
  </si>
  <si>
    <t>537</t>
  </si>
  <si>
    <t>VSAM RLS abends, subject to CPSM WLM Storm Drain check if handled (as here) and Workload Abend Thresholds are set.</t>
  </si>
  <si>
    <t>539-577</t>
  </si>
  <si>
    <t xml:space="preserve">       WHEN 'AFCR'
       WHEN 'AFCS'
       WHEN 'AFCT'
          MOVE 'Y' TO WS-STORM-DRAIN
          DISPLAY 'DBCRFUN: Check-For-Storm-Drain-VSAM: Storm '
                 'Drain condition (Abend ' MY-ABEND-CODE ') '
                 'has been met.'
          EXEC CICS SYNCPOINT
             ROLLBACK
             RESP(WS-CICS-RESP)
             RESP2(WS-CICS-RESP2)
          END-EXEC
          IF WS-CICS-RESP NOT = DFHRESP(NORMAL)</t>
  </si>
  <si>
    <t>IF, WHEN, falha</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</si>
  <si>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t>
  </si>
  <si>
    <t>Tratamento dos ABEND AFCR, AFCS e AFCT (VSAM RLS, storm drain) com rollback; infraestrutura.</t>
  </si>
  <si>
    <t>XFRFUN-017</t>
  </si>
  <si>
    <t>DBCRFUN-032</t>
  </si>
  <si>
    <t>591-592</t>
  </si>
  <si>
    <t>758-761</t>
  </si>
  <si>
    <t>594-595</t>
  </si>
  <si>
    <t>763-765</t>
  </si>
  <si>
    <t>The FROM account number is greater than the TO account number</t>
  </si>
  <si>
    <t xml:space="preserve">       MOVE COMM-TACCNO TO DESIRED-ACC-NO
       MOVE COMM-TSCODE TO DESIRED-SORT-CODE</t>
  </si>
  <si>
    <t xml:space="preserve">             INITIALIZE ABNDINFO-REC
             MOVE EIBRESP    TO ABND-RESPCODE
             MOVE EIBRESP2   TO ABND-RESP2CODE</t>
  </si>
  <si>
    <t>XFRFUN-018</t>
  </si>
  <si>
    <t>598</t>
  </si>
  <si>
    <t>600</t>
  </si>
  <si>
    <t>Update the TO account number</t>
  </si>
  <si>
    <t>XFRFUN-001</t>
  </si>
  <si>
    <t xml:space="preserve">       PERFORM UPDATE-ACCOUNT-DB2-TO</t>
  </si>
  <si>
    <t>286-287</t>
  </si>
  <si>
    <t>289-296</t>
  </si>
  <si>
    <t>If the amount being transferred is negative, then flag this as a failure and finish.</t>
  </si>
  <si>
    <t>XFRFUN-022</t>
  </si>
  <si>
    <t xml:space="preserve">    IF COMM-AMT &lt;= ZERO
      MOVE 'N' TO COMM-SUCCESS
      MOVE '4' TO COMM-FAIL-CODE
      PERFORM GET-ME-OUT-OF-HERE
    END-IF.
    PERFORM UPDATE-ACCOUNT-DB2</t>
  </si>
  <si>
    <t>628</t>
  </si>
  <si>
    <t>630-668</t>
  </si>
  <si>
    <t>Se o valor a transferir for menor ou igual a zero, a transferência é negada e a operação é sinalizada como malsucedida com o código de falha '4'.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</si>
  <si>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t>
  </si>
  <si>
    <t>A validar</t>
  </si>
  <si>
    <t>XFRFUN-023</t>
  </si>
  <si>
    <t>[Rascunho] Divergência: o comentário fala em valor negativo, mas o código testa &lt;= ZERO, ou seja, zero também é recusado. O código '4' é traduzido na tela como 'Please supply an amount greater than zero.' (BNK1TFN-026). A consequência final (GET-ME-OUT-OF-HERE) encerra o programa; o PERFORM UPDATE-ACCOUNT-DB2 ao fim do trecho fica fora da regra.</t>
  </si>
  <si>
    <t>677</t>
  </si>
  <si>
    <t>679-683</t>
  </si>
  <si>
    <t>XFRFUN-003</t>
  </si>
  <si>
    <t>If the FAIL code is something else</t>
  </si>
  <si>
    <t>313-314</t>
  </si>
  <si>
    <t>316-317</t>
  </si>
  <si>
    <t xml:space="preserve">                EXEC CICS SYNCPOINT
                   ROLLBACK
                   RESP(WS-CICS-RESP)
                   RESP2(WS-CICS-RESP2)
                END-EXEC</t>
  </si>
  <si>
    <t>Are we trying to transfer from and to the same account? We don't allow that.</t>
  </si>
  <si>
    <t xml:space="preserve">    IF COMM-FACCNO = COMM-TACCNO
       AND COMM-FSCODE = COMM-TSCODE</t>
  </si>
  <si>
    <t>Se a conta de origem e a conta de destino forem a mesma (mesmo número e mesmo código de agência), a transferência não é permitida e o programa é encerrado com ABEND de código 'SAME'.</t>
  </si>
  <si>
    <t>XFRFUN-026</t>
  </si>
  <si>
    <t>698</t>
  </si>
  <si>
    <t>700-737</t>
  </si>
  <si>
    <t>[Rascunho] Esta linha contém só a condição. A consequência (DISPLAY 'Cannot transfer to the same account' e ABEND 'SAME') está no bloco seguinte do fonte (linhas 318-379), fundido na XFRFUN-004 pelo extrator. A mesma restrição é validada na tela em BNK1TFN-019 (contas devem ser diferentes), com mensagem ao usuário.</t>
  </si>
  <si>
    <t>XFRFUN-004</t>
  </si>
  <si>
    <t>319-322</t>
  </si>
  <si>
    <t>324-326</t>
  </si>
  <si>
    <t xml:space="preserve">       INITIALIZE ABNDINFO-REC
       MOVE EIBRESP    TO ABND-RESPCODE
       MOVE EIBRESP2   TO ABND-RESP2CODE</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</si>
  <si>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t>
  </si>
  <si>
    <t>XFRFUN-029</t>
  </si>
  <si>
    <t>[Rascunho] Montagem de ABEND que compõe a consequência do IF de mesma conta (XFRFUN-003); a regra de negócio está registrada na 003. Montagem padrão das informações de ABEND (INITIALIZE ABNDINFO-REC; MOVE EIBRESP/EIBRESP2); tratamento técnico sem semântica bancária.</t>
  </si>
  <si>
    <t>XFRFUN-008</t>
  </si>
  <si>
    <t>777</t>
  </si>
  <si>
    <t>392</t>
  </si>
  <si>
    <t>779-817</t>
  </si>
  <si>
    <t>394-398</t>
  </si>
  <si>
    <t>If the update was successful, update the TO account</t>
  </si>
  <si>
    <t xml:space="preserve">       IF COMM-SUCCESS = 'Y'
          MOVE COMM-TACCNO TO DESIRED-ACC-NO
          MOVE COMM-TSCODE TO DESIRED-SORT-CODE
          PERFORM UPDATE-ACCOUNT-DB2-TO</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</si>
  <si>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t>
  </si>
  <si>
    <t>Se a atualização da conta de origem for bem-sucedida, a conta de destino é atualizada.</t>
  </si>
  <si>
    <t>XFRFUN-031</t>
  </si>
  <si>
    <t>[Rascunho] Ramo em que o número da conta de origem é menor que o da conta de destino (XFRFUN-006, Descartados). A ordem por número de conta é aspecto técnico e fica fora da regra. Estrutura espelhada na XFRFUN-019 (ordem inversa). Falhas seguem para rollback/ABEND (XFRFUN-009 a 015).</t>
  </si>
  <si>
    <t>XFRFUN-009</t>
  </si>
  <si>
    <t>843</t>
  </si>
  <si>
    <t>845-882</t>
  </si>
  <si>
    <t>401-402</t>
  </si>
  <si>
    <t>404-413</t>
  </si>
  <si>
    <t>If the update to the TO account was unsuccessful then we need to flag it and roll it back</t>
  </si>
  <si>
    <t xml:space="preserve">          IF COMM-SUCCESS = 'N'
             IF COMM-FAIL-CODE = '2'
                EXEC CICS SYNCPOINT
                   ROLLBACK
                   RESP(WS-CICS-RESP)
                   RESP2(WS-CICS-RESP2)
                END-EXEC
                IF WS-CICS-RESP IS NOT EQUAL TO DFHRESP(NORMAL)</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</si>
  <si>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t>
  </si>
  <si>
    <t>[Rascunho] Falha na atualização da conta de destino (COMM-SUCCESS = 'N') com código '2': rollback; se o rollback falhar, ABEND (010 e 011); com outro código, ABEND 'TO' (012). Fluxo de rollback/ABEND, tratado como infraestrutura. O efeito de negócio (transferência não efetivada pela metade) decorre do rollback: decidir se deve virar regra.</t>
  </si>
  <si>
    <t>XFRFUN-010</t>
  </si>
  <si>
    <t>XFRFUN-032</t>
  </si>
  <si>
    <t>415-418</t>
  </si>
  <si>
    <t>420-422</t>
  </si>
  <si>
    <t>907-909</t>
  </si>
  <si>
    <t>911-920</t>
  </si>
  <si>
    <t xml:space="preserve">                   INITIALIZE ABNDINFO-REC
                   MOVE EIBRESP    TO ABND-RESPCODE
                   MOVE EIBRESP2   TO ABND-RESP2CODE</t>
  </si>
  <si>
    <t>If the updates to the TO and FROM accounts were successful then we need to write to PROCTRAN (processed transaction) to record the successful transfer.</t>
  </si>
  <si>
    <t xml:space="preserve">    PERFORM WRITE-TO-PROCTRAN.
    MOVE 'Y' TO COMM-SUCCESS.
UAD999.
    EXIT.
UPDATE-ACCOUNT-DB2-FROM SECTION.
UADF010.</t>
  </si>
  <si>
    <t>[Rascunho] Montagem padrão das informações de ABEND (INITIALIZE ABNDINFO-REC; MOVE EIBRESP/EIBRESP2); tratamento técnico sem semântica bancária.</t>
  </si>
  <si>
    <t>XFRFUN-012</t>
  </si>
  <si>
    <t>XFRFUN-033</t>
  </si>
  <si>
    <t>483-484</t>
  </si>
  <si>
    <t>486-496</t>
  </si>
  <si>
    <t>922</t>
  </si>
  <si>
    <t>If the COMM-FLAG is anything else other than 2 then abend.</t>
  </si>
  <si>
    <t>924-955</t>
  </si>
  <si>
    <t xml:space="preserve">                DISPLAY 'Error updating TO account'
                EXEC CICS ABEND
                   ABCODE('TO  ')
                   NODUMP
                END-EXEC
             END-IF
          END-IF
       ELSE</t>
  </si>
  <si>
    <t>Position ourself at the matching FROM account record</t>
  </si>
  <si>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t>
  </si>
  <si>
    <t>trecho truncado (30 linhas)</t>
  </si>
  <si>
    <t>[Rascunho] ABEND 'TO' quando o código de falha da conta de destino não é '2'. O comentário cita COMM-FLAG, mas o código testa COMM-FAIL-CODE. Tratamento de ABEND.</t>
  </si>
  <si>
    <t>XFRFUN-013</t>
  </si>
  <si>
    <t>498-499</t>
  </si>
  <si>
    <t>501-507</t>
  </si>
  <si>
    <t>XFRFUN-035</t>
  </si>
  <si>
    <t>If the update to the FROM account was not successful rollback.</t>
  </si>
  <si>
    <t>973-974</t>
  </si>
  <si>
    <t xml:space="preserve">          IF COMM-FAIL-CODE = '1'
             EXEC CICS SYNCPOINT
                ROLLBACK
                RESP(WS-CICS-RESP)
                RESP2(WS-CICS-RESP2)
             END-EXEC</t>
  </si>
  <si>
    <t>976-980</t>
  </si>
  <si>
    <t xml:space="preserve">       PERFORM CHECK-FOR-STORM-DRAIN-DB2
       GO TO UADF999
    END-IF.</t>
  </si>
  <si>
    <t>[Rascunho] Rollback quando a atualização da conta de origem falha com código '1'. O comentário diz apenas 'not successful', mas o código testa COMM-FAIL-CODE = '1'. Infraestrutura transacional.</t>
  </si>
  <si>
    <t>XFRFUN-014</t>
  </si>
  <si>
    <t>XFRFUN-036</t>
  </si>
  <si>
    <t>983-984</t>
  </si>
  <si>
    <t>986-1008</t>
  </si>
  <si>
    <t>510</t>
  </si>
  <si>
    <t>512-526</t>
  </si>
  <si>
    <t>If the SQLCODE is OK then update the row on ACCOUNT for the FROM account.</t>
  </si>
  <si>
    <t>If the ROLLback failed</t>
  </si>
  <si>
    <t xml:space="preserve">             IF WS-CICS-RESP IS NOT EQUAL TO DFHRESP(NORMAL)
                DISPLAY 'XFRFUN error syncpoint '
                   ' rollback after '
                   'updating FROM account '
                   ',RESP=' WS-CICS-RESP
                   ',RESP2=' WS-CICS-RESP2
                EXEC CICS ABEND
                   ABCODE('HROL')
                   NODUMP
                END-EXEC
             END-IF
             GO TO UAD999
          ELSE</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</si>
  <si>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</si>
  <si>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XFRFUN-038</t>
  </si>
  <si>
    <t>1020-1021</t>
  </si>
  <si>
    <t>1023-1027</t>
  </si>
  <si>
    <t>[Rascunho] Falha do rollback após atualizar a conta de origem: DISPLAY e ABEND 'HROL'; infraestrutura.</t>
  </si>
  <si>
    <t>XFRFUN-015</t>
  </si>
  <si>
    <t>XFRFUN-039</t>
  </si>
  <si>
    <t>528-531</t>
  </si>
  <si>
    <t>533-535</t>
  </si>
  <si>
    <t>1030-1031</t>
  </si>
  <si>
    <t>1033-1044</t>
  </si>
  <si>
    <t>If the update to the FROM account was OK store the updated balances away.</t>
  </si>
  <si>
    <t xml:space="preserve">    MOVE HV-ACCOUNT-AVAIL-BAL TO COMM-FAVBAL.
    MOVE HV-ACCOUNT-ACTUAL-BAL TO COMM-FACTBAL.
    MOVE 'Y' TO COMM-SUCCESS.
UADF999.
    EXIT.
UPDATE-ACCOUNT-DB2-TO SECTION.
UADT010.
    MOVE 'N' TO COMM-SUCCESS.</t>
  </si>
  <si>
    <t>XFRFUN-019</t>
  </si>
  <si>
    <t>XFRFUN-040</t>
  </si>
  <si>
    <t>603-604</t>
  </si>
  <si>
    <t>1046-1047</t>
  </si>
  <si>
    <t>606-610</t>
  </si>
  <si>
    <t>If the update to the TO account was successful then update the FROM account</t>
  </si>
  <si>
    <t>1049-1081</t>
  </si>
  <si>
    <t xml:space="preserve">       IF COMM-SUCCESS = 'Y'
          MOVE COMM-FACCNO TO DESIRED-ACC-NO
          MOVE COMM-FSCODE TO DESIRED-SORT-CODE
          PERFORM UPDATE-ACCOUNT-DB2-FROM</t>
  </si>
  <si>
    <t>Position ourself at the matching account record for the TO account</t>
  </si>
  <si>
    <t>Se a atualização da conta de destino for bem-sucedida, a conta de origem é atualizada.</t>
  </si>
  <si>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t>
  </si>
  <si>
    <t>[Rascunho] Ramo em que o número da conta de origem é maior que o da conta de destino (ordem inversa da XFRFUN-008). A ordem por número de conta é aspecto técnico e fica fora da regra.</t>
  </si>
  <si>
    <t>XFRFUN-020</t>
  </si>
  <si>
    <t>XFRFUN-042</t>
  </si>
  <si>
    <t>613</t>
  </si>
  <si>
    <t>615-617</t>
  </si>
  <si>
    <t>Did the update to the FROM account work?</t>
  </si>
  <si>
    <t>1094-1095</t>
  </si>
  <si>
    <t xml:space="preserve">          IF COMM-SUCCESS = 'N'
             IF COMM-FAIL-CODE NOT = '1'</t>
  </si>
  <si>
    <t>1097</t>
  </si>
  <si>
    <t xml:space="preserve">       PERFORM CHECK-FOR-STORM-DRAIN-DB2</t>
  </si>
  <si>
    <t>[Rascunho] Se a atualização da conta de origem falhar (COMM-SUCCESS = 'N') com código diferente de '1', ABEND 'FROM'; com código '1', rollback (XFRFUN-023, Descartados). Fluxo de ABEND/rollback.</t>
  </si>
  <si>
    <t>XFRFUN-021</t>
  </si>
  <si>
    <t>XFRFUN-045</t>
  </si>
  <si>
    <t>619-622</t>
  </si>
  <si>
    <t>624-626</t>
  </si>
  <si>
    <t>1127</t>
  </si>
  <si>
    <t>1129-1166</t>
  </si>
  <si>
    <t xml:space="preserve">                INITIALIZE ABNDINFO-REC
                MOVE EIBRESP    TO ABND-RESPCODE
                MOVE EIBRESP2   TO ABND-RESP2CODE</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</si>
  <si>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t>
  </si>
  <si>
    <t>XFRFUN-024</t>
  </si>
  <si>
    <t>685</t>
  </si>
  <si>
    <t>687</t>
  </si>
  <si>
    <t>If that rollback didn't work</t>
  </si>
  <si>
    <t>XFRFUN-048</t>
  </si>
  <si>
    <t xml:space="preserve">                IF WS-CICS-RESP IS NOT EQUAL TO DFHRESP(NORMAL)</t>
  </si>
  <si>
    <t>1223</t>
  </si>
  <si>
    <t>1225-1262</t>
  </si>
  <si>
    <t>[Rascunho] Verificação do RESP do rollback executado após falha na conta de origem; infraestrutura transacional.</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</si>
  <si>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t>
  </si>
  <si>
    <t>XFRFUN-025</t>
  </si>
  <si>
    <t>689-692</t>
  </si>
  <si>
    <t>694-696</t>
  </si>
  <si>
    <t>XFRFUN-051</t>
  </si>
  <si>
    <t>1354-1355</t>
  </si>
  <si>
    <t>1357-1378</t>
  </si>
  <si>
    <t>If the SELECT was successful, then amend the account balances and UPDATE the row back onto the ACCOUNT table.</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</si>
  <si>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</si>
  <si>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XFRFUN-027</t>
  </si>
  <si>
    <t>XFRFUN-055</t>
  </si>
  <si>
    <t>763-764</t>
  </si>
  <si>
    <t>766</t>
  </si>
  <si>
    <t>If the update to the TO account was NOT successful &amp; the fail code isn't = '2'</t>
  </si>
  <si>
    <t>BNK1CRA</t>
  </si>
  <si>
    <t>1421</t>
  </si>
  <si>
    <t xml:space="preserve">          IF COMM-FAIL-CODE NOT = '2'</t>
  </si>
  <si>
    <t>1423-1460</t>
  </si>
  <si>
    <t>[Rascunho] Se a atualização da conta de destino falhar com código diferente de '2', ABEND (XFRFUN-028 a 030); fluxo de ABEND.</t>
  </si>
  <si>
    <t>XFRFUN-028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</si>
  <si>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t>
  </si>
  <si>
    <t>768-771</t>
  </si>
  <si>
    <t>773-775</t>
  </si>
  <si>
    <t>XFRFUN-058</t>
  </si>
  <si>
    <t>1552</t>
  </si>
  <si>
    <t>1554-1572</t>
  </si>
  <si>
    <t>Store the data away</t>
  </si>
  <si>
    <t xml:space="preserve">    MOVE HV-ACCOUNT-AVAIL-BAL  TO COMM-TAVBAL.
    MOVE HV-ACCOUNT-ACTUAL-BAL TO COMM-TACTBAL.
    MOVE 'Y' TO COMM-SUCCESS.
UADT999.
    EXIT.
WRITE-TO-PROCTRAN SECTION.
WTP010.
    PERFORM WRITE-TO-PROCTRAN-DB2.
WTP999.
    EXIT.
WRITE-TO-PROCTRAN-DB2 SECTION.
WTPD010.</t>
  </si>
  <si>
    <t>XFRFUN-030</t>
  </si>
  <si>
    <t>834-837</t>
  </si>
  <si>
    <t>839-841</t>
  </si>
  <si>
    <t>XFRFUN-059</t>
  </si>
  <si>
    <t>1574-1575</t>
  </si>
  <si>
    <t>1577-1584</t>
  </si>
  <si>
    <t>Writes details of the successful transfer to the PROCTRAN (Processed Transaction) datastore.</t>
  </si>
  <si>
    <t xml:space="preserve">    INITIALIZE HOST-PROCTRAN-ROW.
    INITIALIZE WS-EIBTASKN12.
    MOVE 'PRTR' TO HV-PROCTRAN-EYECATCHER.
    MOVE COMM-FSCODE TO HV-PROCTRAN-SORT-CODE.
    MOVE COMM-FACCNO TO HV-PROCTRAN-ACC-NUMBER.
    MOVE EIBTASKN TO WS-EIBTASKN12.
    MOVE WS-EIBTASKN12 TO HV-PROCTRAN-REF.</t>
  </si>
  <si>
    <t>XFRFUN-060</t>
  </si>
  <si>
    <t>XFRFUN-034</t>
  </si>
  <si>
    <t>1587</t>
  </si>
  <si>
    <t>961-962</t>
  </si>
  <si>
    <t>1589-1625</t>
  </si>
  <si>
    <t>964-971</t>
  </si>
  <si>
    <t>Populate the time and date</t>
  </si>
  <si>
    <t>Check that select was successful. If it wasn't then set the COMMAREA return flags accordingly.</t>
  </si>
  <si>
    <t xml:space="preserve">    IF SQLCODE NOT = 0
       MOVE 'N' TO COMM-SUCCESS
       IF SQLCODE = +100
          MOVE '1' TO COMM-FAIL-CODE
       ELSE
          MOVE '3' TO COMM-FAIL-CODE
       END-IF</t>
  </si>
  <si>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t>
  </si>
  <si>
    <t>1. Se a conta de origem não for encontrada (SQLCODE igual a +100), a operação é sinalizada como malsucedida com o código de falha '1'.
2. Se a leitura da conta de origem falhar por motivo diferente de conta não encontrada, a operação é sinalizada como malsucedida com o código de falha '3'.</t>
  </si>
  <si>
    <t>XFRFUN-063</t>
  </si>
  <si>
    <t>1659</t>
  </si>
  <si>
    <t>[Rascunho] Mesmo desenho da DBCRFUN-005. O código '1' vira mensagem 'FROM ACCOUNT no was not found' (BNK1TFN-026); o '3' é falha técnica ('unexpected error'): a regra 2 pode ser 'a discutir'. O trecho termina antes do storm drain (XFRFUN-035, Descartados).</t>
  </si>
  <si>
    <t>1661-1697</t>
  </si>
  <si>
    <t>XFRFUN-037</t>
  </si>
  <si>
    <t>1011-1012</t>
  </si>
  <si>
    <t>1014-1017</t>
  </si>
  <si>
    <t>If the RESP CODE was NOT OK then we need to indicate a failure</t>
  </si>
  <si>
    <t xml:space="preserve">    IF SQLCODE NOT = 0
       MOVE 'N' TO COMM-SUCCESS
       MOVE '3' TO COMM-FAIL-CODE</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</si>
  <si>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t>
  </si>
  <si>
    <t>Se a atualização da conta de origem falhar (SQLCODE diferente de zero), a operação é sinalizada como malsucedida com o código de falha '3'.</t>
  </si>
  <si>
    <t>a discutir</t>
  </si>
  <si>
    <t>XFRFUN-066</t>
  </si>
  <si>
    <t>[Rascunho] Falha técnica de DB2 na atualização, tratada em conjunto com o código '3' da XFRFUN-034. O trecho termina antes do storm drain (XFRFUN-038, Descartados).</t>
  </si>
  <si>
    <t>XFRFUN-041</t>
  </si>
  <si>
    <t>1772</t>
  </si>
  <si>
    <t>1774-1776</t>
  </si>
  <si>
    <t>1088-1089</t>
  </si>
  <si>
    <t>1091-1092</t>
  </si>
  <si>
    <t>Deal with any abends</t>
  </si>
  <si>
    <t>Check that SELECT was successful. If it wasn't then set the return flags accordingly.</t>
  </si>
  <si>
    <t xml:space="preserve">    EXEC CICS ASSIGN
       ABCODE(MY-ABEND-CODE)
    END-EXEC.</t>
  </si>
  <si>
    <t xml:space="preserve">    IF SQLCODE NOT = 0
       MOVE 'N' TO COMM-SUCCESS</t>
  </si>
  <si>
    <t>Se a leitura da conta de destino não for bem-sucedida (SQLCODE diferente de zero), a operação é sinalizada como malsucedida.</t>
  </si>
  <si>
    <t>XFRFUN-070</t>
  </si>
  <si>
    <t>1832</t>
  </si>
  <si>
    <t>1834-1870</t>
  </si>
  <si>
    <t>[Rascunho] As consequências específicas estão nas XFRFUN-043 (código '2') e 046 (código '3'); esta regra pode ser absorvida por elas para evitar redundância (decisão do revisor).</t>
  </si>
  <si>
    <t>XFRFUN-043</t>
  </si>
  <si>
    <t>1100</t>
  </si>
  <si>
    <t>1102-1116</t>
  </si>
  <si>
    <t>If the TO account was not found</t>
  </si>
  <si>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</si>
  <si>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t>
  </si>
  <si>
    <t>Se a conta de destino não for encontrada (SQLCODE igual a +100), a operação é sinalizada como malsucedida com o código de falha '2'.</t>
  </si>
  <si>
    <t>BNK1CRA-010</t>
  </si>
  <si>
    <t>282</t>
  </si>
  <si>
    <t>284-322</t>
  </si>
  <si>
    <t>[Rascunho] O trecho inclui DISPLAY e rollback ('to avoid data inconsistency'), tratados como infraestrutura e fora da regra. O código '2' vira a mensagem 'TO ACCOUNT no was not found' (BNK1TFN-026).</t>
  </si>
  <si>
    <t>XFRFUN-044</t>
  </si>
  <si>
    <t>1118-1121</t>
  </si>
  <si>
    <t>1123-1125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</si>
  <si>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t>
  </si>
  <si>
    <t>BNK1CRA-011</t>
  </si>
  <si>
    <t>337</t>
  </si>
  <si>
    <t>339</t>
  </si>
  <si>
    <t>XFRFUN-046</t>
  </si>
  <si>
    <t>Retrieve the data from the map</t>
  </si>
  <si>
    <t xml:space="preserve">    PERFORM RECEIVE-MAP.</t>
  </si>
  <si>
    <t>1185-1186</t>
  </si>
  <si>
    <t>1188-1211</t>
  </si>
  <si>
    <t>If the failure isn't down to the row NOT being found (it failed for some other reason)</t>
  </si>
  <si>
    <t>BNK1CRA-012</t>
  </si>
  <si>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</si>
  <si>
    <t>342</t>
  </si>
  <si>
    <t>344</t>
  </si>
  <si>
    <t>Validate the received data</t>
  </si>
  <si>
    <t>Se a leitura da conta de destino falhar por motivo diferente de conta não encontrada, a operação é sinalizada como malsucedida com o código de falha '3'.</t>
  </si>
  <si>
    <t xml:space="preserve">    PERFORM EDIT-DATA.</t>
  </si>
  <si>
    <t>BNK1CRA-014</t>
  </si>
  <si>
    <t>357</t>
  </si>
  <si>
    <t>359-366</t>
  </si>
  <si>
    <t>Output the data to the screen</t>
  </si>
  <si>
    <t xml:space="preserve">    PERFORM SEND-MAP.
PM999.
    EXIT.
RECEIVE-MAP SECTION.
RM010.</t>
  </si>
  <si>
    <t>BNK1CRA-017</t>
  </si>
  <si>
    <t>[Rascunho] Falha técnica de DB2. O restante do trecho (tratamento de deadlock -911 com nova tentativa, rollback e ABEND) é infraestrutura. Trecho com 24 linhas: conferir o final no fonte.</t>
  </si>
  <si>
    <t>391-429</t>
  </si>
  <si>
    <t>XFRFUN-047</t>
  </si>
  <si>
    <t>1214-1217</t>
  </si>
  <si>
    <t>1219-1221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</si>
  <si>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t>
  </si>
  <si>
    <t>Preserve the RESP and RESP2, then set up the standard ABEND info before getting the applid, date/time etc. and link to the Abend Handler program.</t>
  </si>
  <si>
    <t xml:space="preserve">                      INITIALIZE ABNDINFO-REC
                      MOVE EIBRESP    TO ABND-RESPCODE
                      MOVE EIBRESP2   TO ABND-RESP2CODE</t>
  </si>
  <si>
    <t>BNK1CRA-019</t>
  </si>
  <si>
    <t>472</t>
  </si>
  <si>
    <t>474-481</t>
  </si>
  <si>
    <t>Validate the Amount entered</t>
  </si>
  <si>
    <t xml:space="preserve">    PERFORM VALIDATE-AMOUNT.
ED999.
    EXIT.
UPD-CRED-DATA SECTION.
UCD010.</t>
  </si>
  <si>
    <t>XFRFUN-049</t>
  </si>
  <si>
    <t>BNK1CRA-020</t>
  </si>
  <si>
    <t>1293-1296</t>
  </si>
  <si>
    <t>1298-1300</t>
  </si>
  <si>
    <t>486-489</t>
  </si>
  <si>
    <t>Set up the COMMAREA fields required by DBCRFUN and then link to it.</t>
  </si>
  <si>
    <t xml:space="preserve">    INITIALIZE SUBPGM-PARMS.
    MOVE ACCNOI TO SUBPGM-ACCNO.
    MOVE 0 TO SUBPGM-AMT.</t>
  </si>
  <si>
    <t>BNK1CRA-024</t>
  </si>
  <si>
    <t>530</t>
  </si>
  <si>
    <t>532-570</t>
  </si>
  <si>
    <t>XFRFUN-050</t>
  </si>
  <si>
    <t>1302</t>
  </si>
  <si>
    <t>1304-1342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</si>
  <si>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t>
  </si>
  <si>
    <t>BNK1CRA-026</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</si>
  <si>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t>
  </si>
  <si>
    <t>629</t>
  </si>
  <si>
    <t>631-644</t>
  </si>
  <si>
    <t>Set up the values on the map</t>
  </si>
  <si>
    <t xml:space="preserve">    MOVE SUBPGM-ACCNO       TO ACCNOO.
    MOVE SUBPGM-SORTC       TO SORTCO.
    MOVE SUBPGM-ACT-BAL    TO ACTUAL-BALANCE-DISPLAY.
    MOVE SUBPGM-AV-BAL     TO AVAILABLE-BALANCE-DISPLAY.
    MOVE ACTUAL-BALANCE-DISPLAY      TO ACTBALO.
    MOVE AVAILABLE-BALANCE-DISPLAY   TO AVBALO.
UCD999.
    EXIT.
SEND-MAP SECTION.
SM010.</t>
  </si>
  <si>
    <t>[Rascunho] Coleta de informações complementares de ABEND (ASSIGN APPLID, data e hora, LINK ao tratador de ABEND); tratamento técnico sem semântica bancária. Inclui IF sobre SQLERRD(3) para mensagem de timeout.</t>
  </si>
  <si>
    <t>BNK1CRA-029</t>
  </si>
  <si>
    <t>XFRFUN-052</t>
  </si>
  <si>
    <t>668</t>
  </si>
  <si>
    <t>1382</t>
  </si>
  <si>
    <t>670-708</t>
  </si>
  <si>
    <t>BNK1TFN</t>
  </si>
  <si>
    <t>1384-1389</t>
  </si>
  <si>
    <t>If the RESP CODE was NOT OK then we need to abend</t>
  </si>
  <si>
    <t xml:space="preserve">    IF SQLCODE NOT = 0
       MOVE SQLCODE TO SQLCODE-DISPLAY
       DISPLAY 'UNABLE TO UPDATE TO ACCOUNT.'
          HV-ACCOUNT-SORTCODE HV-ACCOUNT-ACC-NO
          'THE SQLCODE=' SQLCODE-DISPLAY
          ' SQLERRD(3) ' SQLERRD(3)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</si>
  <si>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t>
  </si>
  <si>
    <t>BNK1CRA-032</t>
  </si>
  <si>
    <t>742</t>
  </si>
  <si>
    <t>744-782</t>
  </si>
  <si>
    <t>[Rascunho] Falha na atualização da conta de destino (SQLCODE diferente de zero): exibe diagnóstico e leva a ABEND; tratamento técnico de DB2.</t>
  </si>
  <si>
    <t>XFRFUN-053</t>
  </si>
  <si>
    <t>1392-1393</t>
  </si>
  <si>
    <t>1395-1409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</si>
  <si>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t>
  </si>
  <si>
    <t xml:space="preserve">       PERFORM CHECK-FOR-STORM-DRAIN-DB2
       IF SQLCODE = -911
          IF SQLERRD(3) = 13172872
             DISPLAY 'DEADLOCK DETECTED!'
             ADD 1 TO DB2-DEADLOCK-RETRY
             IF DB2-DEADLOCK-RETRY &lt; 6
                EXEC CICS SYNCPOINT
                   ROLLBACK
                   RESP(WS-CICS-RESP)
                   RESP2(WS-CICS-RESP2)
                END-EXEC
                IF WS-CICS-RESP IS NOT EQUAL TO DFHRESP(NORMAL)</t>
  </si>
  <si>
    <t>BNK1CRA-035</t>
  </si>
  <si>
    <t>817</t>
  </si>
  <si>
    <t>819-857</t>
  </si>
  <si>
    <t>[Rascunho] Detecção de deadlock (SQLCODE -911) com nova tentativa limitada (DB2-DEADLOCK-RETRY &lt; 6) e rollback; verificação de storm drain. Política de reexecução técnica; infraestrutura.</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</si>
  <si>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t>
  </si>
  <si>
    <t>XFRFUN-054</t>
  </si>
  <si>
    <t>1412-1415</t>
  </si>
  <si>
    <t>1417-1419</t>
  </si>
  <si>
    <t>BNK1CRA-038</t>
  </si>
  <si>
    <t>895</t>
  </si>
  <si>
    <t>897-935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</si>
  <si>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t>
  </si>
  <si>
    <t>XFRFUN-056</t>
  </si>
  <si>
    <t>1493-1496</t>
  </si>
  <si>
    <t>BNK1TFN-008</t>
  </si>
  <si>
    <t>1498-1500</t>
  </si>
  <si>
    <t>238</t>
  </si>
  <si>
    <t>239-242</t>
  </si>
  <si>
    <t>MOVE 10 TO CUSTNOL</t>
  </si>
  <si>
    <t xml:space="preserve">          SET SEND-DATAONLY-ALARM TO TRUE
          PERFORM SEND-MAP
    END-EVALUATE.</t>
  </si>
  <si>
    <t>possível código desativado</t>
  </si>
  <si>
    <t>XFRFUN-057</t>
  </si>
  <si>
    <t>BNK1TFN-011</t>
  </si>
  <si>
    <t>1502</t>
  </si>
  <si>
    <t>1504-1542</t>
  </si>
  <si>
    <t>266</t>
  </si>
  <si>
    <t>268-307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</si>
  <si>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</si>
  <si>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t>
  </si>
  <si>
    <t>BNK1TFN-012</t>
  </si>
  <si>
    <t>322</t>
  </si>
  <si>
    <t>XFRFUN-061</t>
  </si>
  <si>
    <t>325</t>
  </si>
  <si>
    <t>1644</t>
  </si>
  <si>
    <t>1646-1648</t>
  </si>
  <si>
    <t xml:space="preserve">    IF SQLCODE NOT = 0
       MOVE SQLCODE TO WS-SQLCODE-DISP</t>
  </si>
  <si>
    <t>BNK1TFN-013</t>
  </si>
  <si>
    <t>330</t>
  </si>
  <si>
    <t>[Rascunho] Falha na gravação em PROCTRAN (SQLCODE diferente de zero): converte SQLCODE para exibição; segue para storm drain e ABEND 'WPCD' (XFRFUN-064). Tratamento técnico.</t>
  </si>
  <si>
    <t>XFRFUN-062</t>
  </si>
  <si>
    <t>1650-1653</t>
  </si>
  <si>
    <t>1655-1657</t>
  </si>
  <si>
    <t>BNK1TFN-015</t>
  </si>
  <si>
    <t>343</t>
  </si>
  <si>
    <t>345-352</t>
  </si>
  <si>
    <t>BNK1TFN-018</t>
  </si>
  <si>
    <t>375</t>
  </si>
  <si>
    <t>XFRFUN-064</t>
  </si>
  <si>
    <t>377-416</t>
  </si>
  <si>
    <t>1711-1712</t>
  </si>
  <si>
    <t>1714-1738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</si>
  <si>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t>
  </si>
  <si>
    <t xml:space="preserve">       PERFORM CHECK-FOR-STORM-DRAIN-DB2
       EXEC CICS ABEND
          ABCODE('WPCD')
       END-EXEC
    END-IF.
WTPD999.
    EXIT.
GET-ME-OUT-OF-HERE SECTION.
GMOOH010.
    EXEC CICS RETURN
    END-EXEC.
    GOBACK.
GMOOH999.
    EXIT.
CHECK-FOR-STORM-DRAIN-DB2 SECTION.
CFSDD010.</t>
  </si>
  <si>
    <t>BNK1TFN-020</t>
  </si>
  <si>
    <t>470</t>
  </si>
  <si>
    <t>472-479</t>
  </si>
  <si>
    <t>[Rascunho] Verificação de storm drain e ABEND 'WPCD' após falha na gravação em PROCTRAN. O trecho atravessa seções (WRITE-TO-PROCTRAN-DB2, GET-ME-OUT-OF-HERE, CHECK-FOR-STORM-DRAIN-DB2): efeito de corte do extrator. Infraestrutura.</t>
  </si>
  <si>
    <t>XFRFUN-065</t>
  </si>
  <si>
    <t xml:space="preserve">    PERFORM VALIDATE-AMOUNT.
ED999.
    EXIT.
GET-ACC-DATA SECTION.
GCD010.</t>
  </si>
  <si>
    <t>1741-1742</t>
  </si>
  <si>
    <t>1744-1770</t>
  </si>
  <si>
    <t>Check if the Sqlcode that is returned one that will trigger Storm Drain is active in Workload</t>
  </si>
  <si>
    <t>BNK1TFN-021</t>
  </si>
  <si>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</si>
  <si>
    <t>481-483</t>
  </si>
  <si>
    <t>485-489</t>
  </si>
  <si>
    <t>Set up the fields required by XFRFUN then link to it to get account information and perform the transfer, then check what gets returned.</t>
  </si>
  <si>
    <t xml:space="preserve">    INITIALIZE SUBPGM-PARMS.
    MOVE FACCNOI TO  SUBPGM-FACCNO.
    MOVE TACCNOI TO  SUBPGM-TACCNO.
    MOVE 'N'     TO  SUBPGM-SUCCESS.</t>
  </si>
  <si>
    <t>[Rascunho] Verificação de condição de storm drain do DB2 (EVALUATE SQLCODE, WHEN 923); infraestrutura.</t>
  </si>
  <si>
    <t>XFRFUN-067</t>
  </si>
  <si>
    <t>1779-1784</t>
  </si>
  <si>
    <t>1786</t>
  </si>
  <si>
    <t>BNK1TFN-024</t>
  </si>
  <si>
    <t>515</t>
  </si>
  <si>
    <t>517-555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</si>
  <si>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t>
  </si>
  <si>
    <t>[Rascunho] Avaliação do código de ABEND (EVALUATE MY-ABEND-CODE) para diagnóstico e storm drain de DB2 e VSAM; infraestrutura.</t>
  </si>
  <si>
    <t>XFRFUN-068</t>
  </si>
  <si>
    <t>1789</t>
  </si>
  <si>
    <t>1791-1821</t>
  </si>
  <si>
    <t>BNK1TFN-025</t>
  </si>
  <si>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</si>
  <si>
    <t>564</t>
  </si>
  <si>
    <t>566-577</t>
  </si>
  <si>
    <t>Map the returned data to the screen output fields</t>
  </si>
  <si>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</si>
  <si>
    <t>[Rascunho] Tratamento dos ABEND AD2Z (deadlock DB2) e AFCR/AFCS/AFCT (VSAM RLS, storm drain) com rollback; infraestrutura.</t>
  </si>
  <si>
    <t>XFRFUN-069</t>
  </si>
  <si>
    <t>1823-1826</t>
  </si>
  <si>
    <t>1828-1830</t>
  </si>
  <si>
    <t>BNK1TFN-027</t>
  </si>
  <si>
    <t>643</t>
  </si>
  <si>
    <t>645-663</t>
  </si>
  <si>
    <t>Map the remaining fields</t>
  </si>
  <si>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</si>
  <si>
    <t>BNK1CRA-001</t>
  </si>
  <si>
    <t>182-183</t>
  </si>
  <si>
    <t>185-189</t>
  </si>
  <si>
    <t>Is it the first time through? If so, send the map with erased (empty) data fields.</t>
  </si>
  <si>
    <t xml:space="preserve">       WHEN EIBCALEN = ZERO
          MOVE LOW-VALUE TO BNK1CDO
          MOVE -1 TO ACCNOL
          SET SEND-ERASE TO TRUE
          PERFORM SEND-MAP</t>
  </si>
  <si>
    <t>BNK1TFN-030</t>
  </si>
  <si>
    <t>WHEN</t>
  </si>
  <si>
    <t>691</t>
  </si>
  <si>
    <t>Se for a primeira execução da transação (EIBCALEN igual a zero), a tela é enviada com os campos vazios.</t>
  </si>
  <si>
    <t>693-731</t>
  </si>
  <si>
    <t>[Rascunho] Regra de interface (fluxo de teclas e telas), não de domínio bancário; decidir a categoria com o orientador junto com as demais teclas de função (BNK1CRA-001 a 007 e BNK1TFN-001 a 007).</t>
  </si>
  <si>
    <t>BNK1CRA-002</t>
  </si>
  <si>
    <t>192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</si>
  <si>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t>
  </si>
  <si>
    <t>194-195</t>
  </si>
  <si>
    <t>If a PA key is pressed, just carry on</t>
  </si>
  <si>
    <t xml:space="preserve">       WHEN EIBAID = DFHPA1 OR DFHPA2 OR DFHPA3
          CONTINUE</t>
  </si>
  <si>
    <t>TOTAL</t>
  </si>
  <si>
    <t>Se uma tecla PA for pressionada (PA1, PA2 ou PA3), nenhuma ação é executada.</t>
  </si>
  <si>
    <t>BNK1TFN-033</t>
  </si>
  <si>
    <t>765</t>
  </si>
  <si>
    <t>767-805</t>
  </si>
  <si>
    <t>BNK1CRA-003</t>
  </si>
  <si>
    <t>198</t>
  </si>
  <si>
    <t>200-206</t>
  </si>
  <si>
    <t>When Pf3 is pressed, return to the main menu</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</si>
  <si>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t>
  </si>
  <si>
    <t xml:space="preserve">       WHEN EIBAID = DFHPF3
          EXEC CICS RETURN
             TRANSID('OMEN')
             IMMEDIATE
             RESP(WS-CICS-RESP)
             RESP2(WS-CICS-RESP2)
          END-EXEC</t>
  </si>
  <si>
    <t>Se a tecla PF3 for pressionada, o usuário retorna ao menu principal (transação OMEN).</t>
  </si>
  <si>
    <t>BNK1TFN-036</t>
  </si>
  <si>
    <t>840</t>
  </si>
  <si>
    <t>842-880</t>
  </si>
  <si>
    <t>BNK1CRA-004</t>
  </si>
  <si>
    <t>209-210</t>
  </si>
  <si>
    <t>212-217</t>
  </si>
  <si>
    <t>If the aid or Pf12 is pressed, then send a termination message.</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</si>
  <si>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t>
  </si>
  <si>
    <t xml:space="preserve">       WHEN EIBAID = DFHAID OR DFHPF12
          PERFORM SEND-TERMINATION-MSG
          EXEC CICS
             RETURN
          END-EXEC</t>
  </si>
  <si>
    <t>Se a tecla PF12 for pressionada, é enviada a mensagem de encerramento e a transação termina.</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</si>
  <si>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209-217).</t>
  </si>
  <si>
    <t>BNK1CRA-005</t>
  </si>
  <si>
    <t>220</t>
  </si>
  <si>
    <t>BNK1TFN-039</t>
  </si>
  <si>
    <t>222-229</t>
  </si>
  <si>
    <t>918</t>
  </si>
  <si>
    <t>When CLEAR is pressed</t>
  </si>
  <si>
    <t>920-958</t>
  </si>
  <si>
    <t xml:space="preserve">       WHEN EIBAID = DFHCLEAR
         EXEC CICS SEND CONTROL
                   ERASE
                   FREEKB
         END-EXEC
         EXEC CICS RETURN
         END-EXEC</t>
  </si>
  <si>
    <t>Se a tecla CLEAR for pressionada, a tela é limpa e a transação termina.</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</si>
  <si>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t>
  </si>
  <si>
    <t>BNK1TFN-049</t>
  </si>
  <si>
    <t>1210</t>
  </si>
  <si>
    <t>1212-1224</t>
  </si>
  <si>
    <t>Contagens por fórmula: atualizam conforme a revisão é preenchida na aba Candidatos.</t>
  </si>
  <si>
    <t>Fomate the date and time</t>
  </si>
  <si>
    <t>BNK1CRA-006</t>
  </si>
  <si>
    <t xml:space="preserve">    EXEC CICS ASKTIME
       ABSTIME(WS-U-TIME)
    END-EXEC.
    EXEC CICS FORMATTIME
              ABSTIME(WS-U-TIME)
              DDMMYYYY(WS-ORIG-DATE)
              TIME(WS-TIME-NOW)
              DATESEP
    END-EXEC.
PTD999.
    EXIT.</t>
  </si>
  <si>
    <t>232</t>
  </si>
  <si>
    <t>234-235</t>
  </si>
  <si>
    <t>When enter is pressed then process the content</t>
  </si>
  <si>
    <t xml:space="preserve">       WHEN EIBAID = DFHENTER
          PERFORM PROCESS-MAP</t>
  </si>
  <si>
    <t>Se a tecla ENTER for pressionada, os dados informados são processados (PROCESS-MAP).</t>
  </si>
  <si>
    <t>[Rascunho] Regra de interface (fluxo de teclas e telas), não de domínio bancário; decidir a categoria com o orientador junto com as demais teclas de função (BNK1CRA-001 a 007 e BNK1TFN-001 a 007). É o gatilho do processamento de negócio; a regra em si está na BNK1CRA-013.</t>
  </si>
  <si>
    <t>BNK1CRA-007</t>
  </si>
  <si>
    <t>240-247</t>
  </si>
  <si>
    <t>When anything else happens, send the invalid key message</t>
  </si>
  <si>
    <t xml:space="preserve">       WHEN OTHER
          MOVE LOW-VALUES TO BNK1CDO
          MOVE 'Invalid key pressed.' TO MESSAGEO
          MOVE 8 TO ACCNOL
          SET SEND-DATAONLY-ALARM TO TRUE
          PERFORM SEND-MAP
    END-EVALUATE.</t>
  </si>
  <si>
    <t>Se qualquer outra tecla for pressionada, é exibida a mensagem 'Invalid key pressed.' com alarme sonoro.</t>
  </si>
  <si>
    <t>[Rascunho] Regra de interface (fluxo de teclas e telas), não de domínio bancário; decidir a categoria com o orientador junto com as demais teclas de função (BNK1CRA-001 a 007 e BNK1TFN-001 a 007). O trecho termina em END-EVALUATE.</t>
  </si>
  <si>
    <t>BNK1CRA-008</t>
  </si>
  <si>
    <t>250-253</t>
  </si>
  <si>
    <t>255-271</t>
  </si>
  <si>
    <t>Provided that we have been around this way before (i.e. it is NOT the first time through, put the data returned from the sub program into the area that we use as the COMMAREA on the RETURN.</t>
  </si>
  <si>
    <t xml:space="preserve">    IF EIBCALEN NOT = ZERO
       MOVE COMM-ACCNO  TO WS-COMM-ACCNO
       MOVE COMM-SIGN   TO  WS-COMM-SIGN
       MOVE COMM-AMT    TO WS-COMM-AMT
    END-IF.
    EXEC CICS
       RETURN TRANSID('OCRA')
       COMMAREA(WS-COMM-AREA)
       LENGTH(21)
       RESP(WS-CICS-RESP)
       RESP2(WS-CICS-RESP2)
    END-EXEC.
    IF WS-CICS-RESP NOT = DFHRESP(NORMAL)</t>
  </si>
  <si>
    <t>[Rascunho] Retorno pseudo-conversacional (RETURN TRANSID com COMMAREA) e verificação do RESP; controle de transação. A cópia dos dados para a COMMAREA só ocorre quando EIBCALEN é diferente de zero.</t>
  </si>
  <si>
    <t>BNK1CRA-009</t>
  </si>
  <si>
    <t>273-276</t>
  </si>
  <si>
    <t>278-280</t>
  </si>
  <si>
    <t>BNK1CRA-013</t>
  </si>
  <si>
    <t>347-348</t>
  </si>
  <si>
    <t>350-354</t>
  </si>
  <si>
    <t>If the data passes validation go on to apply the debit or credit.</t>
  </si>
  <si>
    <t xml:space="preserve">    IF VALID-DATA
       PERFORM UPD-CRED-DATA
    END-IF.
    SET SEND-DATAONLY-ALARM TO TRUE.</t>
  </si>
  <si>
    <t>Se os dados informados passarem na validação (VALID-DATA), o débito ou crédito é aplicado à conta (UPD-CRED-DATA).</t>
  </si>
  <si>
    <t>[Rascunho] O SET SEND-DATAONLY-ALARM executado em seguida é procedural e fica fora da regra.</t>
  </si>
  <si>
    <t>BNK1CRA-015</t>
  </si>
  <si>
    <t>368</t>
  </si>
  <si>
    <t>370-378</t>
  </si>
  <si>
    <t>Retrieve the data</t>
  </si>
  <si>
    <t xml:space="preserve">    EXEC CICS
       RECEIVE MAP('BNK1CD')
       MAPSET('BNK1CDM')
       INTO(BNK1CDI)
       RESP(WS-CICS-RESP)
       RESP2(WS-CICS-RESP2)
    END-EXEC.
    IF WS-CICS-RESP NOT = DFHRESP(NORMAL)</t>
  </si>
  <si>
    <t>[Rascunho] Recebimento dos dados da tela (RECEIVE MAP) e verificação do RESP; infraestrutura de interface.</t>
  </si>
  <si>
    <t>BNK1CRA-016</t>
  </si>
  <si>
    <t>380-383</t>
  </si>
  <si>
    <t>385-387</t>
  </si>
  <si>
    <t>BNK1CRA-018</t>
  </si>
  <si>
    <t>444</t>
  </si>
  <si>
    <t>446-469</t>
  </si>
  <si>
    <t>Perform validation on the incoming fields</t>
  </si>
  <si>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</si>
  <si>
    <t>1. Se o número da conta informado não for numérico, a entrada é considerada inválida e é exibida a mensagem 'Please enter an account number.'
2. Se o número da conta informado for zero, a entrada é considerada inválida e é exibida a mensagem 'Please enter a non zero account number.'
3. Se um sinal for informado e não for '+' nem '-', a entrada é considerada inválida e é exibida a mensagem 'Please enter + or - preceding the amount.'</t>
  </si>
  <si>
    <t>[Rascunho] Linha vale por três regras. A condição do sinal é SIGNI diferente de '+' e de '-' com SIGNL = 1 (campo de sinal preenchido): conferir no fonte (linhas 440-469).</t>
  </si>
  <si>
    <t>BNK1CRA-021</t>
  </si>
  <si>
    <t>492</t>
  </si>
  <si>
    <t>494-498</t>
  </si>
  <si>
    <t>Provide the correct Amount</t>
  </si>
  <si>
    <t xml:space="preserve">    IF SIGNI = '-'
       COMPUTE WS-AMOUNT-AS-FLOAT = WS-AMOUNT-AS-FLOAT * -1
    END-IF.
    MOVE WS-AMOUNT-AS-FLOAT TO SUBPGM-AMT.</t>
  </si>
  <si>
    <t>Se o sinal informado for '-', o valor da operação é convertido para negativo (débito).</t>
  </si>
  <si>
    <t>[Rascunho] Sem ELSE: sinal '+' mantém o valor positivo (crédito). O valor convertido segue para o DBCRFUN (SUBPGM-AMT).</t>
  </si>
  <si>
    <t>BNK1CRA-022</t>
  </si>
  <si>
    <t>501</t>
  </si>
  <si>
    <t>503-519</t>
  </si>
  <si>
    <t>Get the ORIGIN data</t>
  </si>
  <si>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</si>
  <si>
    <t>[Rascunho] Obtenção dos dados de origem (INQUIRE ASSOCIATION) e LINK ao DBCRFUN com verificação do RESP. O COMM-FACILTYPE obtido aqui alimenta a regra de pagamento (496) do DBCRFUN-008.</t>
  </si>
  <si>
    <t>BNK1CRA-023</t>
  </si>
  <si>
    <t>521-524</t>
  </si>
  <si>
    <t>526-528</t>
  </si>
  <si>
    <t>BNK1CRA-025</t>
  </si>
  <si>
    <t>579</t>
  </si>
  <si>
    <t>581-615</t>
  </si>
  <si>
    <t>Check to see if the debit or credit was successful</t>
  </si>
  <si>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t>
  </si>
  <si>
    <t>IF, EVALUATE, WHEN</t>
  </si>
  <si>
    <t>1. Se o débito ou crédito não for bem-sucedido e o código de falha for '1', é exibida a mensagem de conta não encontrada e valor não aplicado.
2. Se o débito ou crédito não for bem-sucedido e o código de falha for '2', é exibida a mensagem de erro inesperado.
3. Se o débito ou crédito não for bem-sucedido e o código de falha for '3', é exibida a mensagem de saldo insuficiente.
4. Se o débito ou crédito não for bem-sucedido e o código de falha for outro, é exibida a mensagem de erro inesperado acompanhada do código.
5. Se o débito ou crédito for bem-sucedido, é exibida a mensagem 'Amount successfully applied to the account.'</t>
  </si>
  <si>
    <t>[Rascunho] Não há WHEN '4': a negação de pagamento em conta MORTGAGE/LOAN (DBCRFUN, código '4') cai em WHEN OTHER e aparece ao usuário como erro inesperado com o código. A regra 5 vem do ELSE (fora do trecho truncado): conferir no fonte (linhas 579-630). Linha vale por cinco regras; avaliar se divide em entradas.</t>
  </si>
  <si>
    <t>BNK1CRA-027</t>
  </si>
  <si>
    <t>646</t>
  </si>
  <si>
    <t>648-657</t>
  </si>
  <si>
    <t>If the map needs to have its data erased</t>
  </si>
  <si>
    <t xml:space="preserve">    IF SEND-ERASE
       EXEC CICS SEND MAP('BNK1CD')
          MAPSET('BNK1CDM')
          FROM(BNK1CDO)
          ERASE
          RESP(WS-CICS-RESP)
          RESP2(WS-CICS-RESP2)
       END-EXEC
       IF WS-CICS-RESP NOT = DFHRESP(NORMAL)</t>
  </si>
  <si>
    <t>[Rascunho] Envio da tela com apagamento (SEND MAP ... ERASE) e verificação do RESP; infraestrutura de interface.</t>
  </si>
  <si>
    <t>BNK1CRA-028</t>
  </si>
  <si>
    <t>659-662</t>
  </si>
  <si>
    <t>664-666</t>
  </si>
  <si>
    <t>BNK1CRA-030</t>
  </si>
  <si>
    <t>720</t>
  </si>
  <si>
    <t>722-731</t>
  </si>
  <si>
    <t>If the map just needs a resend of only the data</t>
  </si>
  <si>
    <t xml:space="preserve">    IF SEND-DATAONLY
       EXEC CICS SEND MAP('BNK1CD')
          MAPSET('BNK1CDM')
          FROM(BNK1CDO)
          DATAONLY
          RESP(WS-CICS-RESP)
          RESP2(WS-CICS-RESP2)
       END-EXEC
       IF WS-CICS-RESP NOT = DFHRESP(NORMAL)</t>
  </si>
  <si>
    <t>[Rascunho] Reenvio apenas dos dados da tela (SEND MAP ... DATAONLY) e verificação do RESP; infraestrutura de interface.</t>
  </si>
  <si>
    <t>BNK1CRA-031</t>
  </si>
  <si>
    <t>733-736</t>
  </si>
  <si>
    <t>BNK1CRA-033</t>
  </si>
  <si>
    <t>794</t>
  </si>
  <si>
    <t>796-806</t>
  </si>
  <si>
    <t>If we have elected to send the map and a beep</t>
  </si>
  <si>
    <t xml:space="preserve">    IF SEND-DATAONLY-ALARM
       EXEC CICS SEND MAP('BNK1CD')
          MAPSET('BNK1CDM')
          FROM(BNK1CDO)
          DATAONLY
          ALARM
          RESP(WS-CICS-RESP)
          RESP2(WS-CICS-RESP2)
       END-EXEC
       IF WS-CICS-RESP NOT = DFHRESP(NORMAL)</t>
  </si>
  <si>
    <t>[Rascunho] Envio da tela com alarme sonoro (SEND MAP ... ALARM) e verificação do RESP; infraestrutura de interface.</t>
  </si>
  <si>
    <t>BNK1CRA-034</t>
  </si>
  <si>
    <t>808-811</t>
  </si>
  <si>
    <t>813-815</t>
  </si>
  <si>
    <t>BNK1CRA-036</t>
  </si>
  <si>
    <t>874</t>
  </si>
  <si>
    <t>876-884</t>
  </si>
  <si>
    <t>Send the termination message</t>
  </si>
  <si>
    <t xml:space="preserve">    EXEC CICS SEND TEXT
       FROM(END-OF-SESSION-MESSAGE)
       ERASE
       FREEKB
       RESP(WS-CICS-RESP)
       RESP2(WS-CICS-RESP2)
    END-EXEC.
    IF WS-CICS-RESP NOT = DFHRESP(NORMAL)</t>
  </si>
  <si>
    <t>[Rascunho] Envio da mensagem de encerramento (SEND TEXT) e verificação do RESP; infraestrutura de interface.</t>
  </si>
  <si>
    <t>BNK1CRA-037</t>
  </si>
  <si>
    <t>886-889</t>
  </si>
  <si>
    <t>891-893</t>
  </si>
  <si>
    <t>BNK1CRA-039</t>
  </si>
  <si>
    <t>986</t>
  </si>
  <si>
    <t>988-1024</t>
  </si>
  <si>
    <t>It is entirely spaces</t>
  </si>
  <si>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t>
  </si>
  <si>
    <t>Se o campo de valor for composto inteiramente de espaços, a entrada é considerada inválida e é exibida a mensagem 'The Amount entered must be numeric.'</t>
  </si>
  <si>
    <t>[Rascunho] Trecho truncado (30 linhas): o restante (UNSTRING, contagem de caracteres) é procedural; conferir o fonte a partir da linha 1024.</t>
  </si>
  <si>
    <t>BNK1CRA-040</t>
  </si>
  <si>
    <t>1038-1042</t>
  </si>
  <si>
    <t>1044-1064</t>
  </si>
  <si>
    <t>If there is a decimal point, the field is not numeric. But if it is 1.1 then it is valid. So first of all we check to see that only the above chars are valid. We DO NOT tolerate embedded spaces too</t>
  </si>
  <si>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</si>
  <si>
    <t>1. Se o valor informado contiver espaços embutidos, a entrada é considerada inválida e é exibida a mensagem 'Please supply a numeric amount without embedded spaces.'
2. Se o valor informado contiver caracteres diferentes de dígitos e ponto decimal, a entrada é considerada inválida e é exibida a mensagem 'Please supply a numeric amount.'</t>
  </si>
  <si>
    <t>[Rascunho] Linha vale por duas regras. Os caracteres aceitos (dígitos 0 a 9 e '.') são os contados no INSPECT que antecede o trecho.</t>
  </si>
  <si>
    <t>BNK1CRA-041</t>
  </si>
  <si>
    <t>1067</t>
  </si>
  <si>
    <t>1069-1083</t>
  </si>
  <si>
    <t>Check that we have no or just one decimal point</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</si>
  <si>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</si>
  <si>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Se o valor informado contiver mais de um ponto decimal, a entrada é considerada inválida e é exibida a mensagem 'Use one decimal point for amount only.'</t>
  </si>
  <si>
    <t>[Rascunho]</t>
  </si>
  <si>
    <t>BNK1CRA-042</t>
  </si>
  <si>
    <t>1086</t>
  </si>
  <si>
    <t>1088-1114</t>
  </si>
  <si>
    <t>Have we got too many decimals?</t>
  </si>
  <si>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</si>
  <si>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Se o valor informado tiver mais de duas casas decimais, a entrada é considerada inválida e é exibida a mensagem 'Only up to two decimal places are supported.'</t>
  </si>
  <si>
    <t>[Rascunho] A condição está nesta linha (dois IF aninhados); a mensagem e a consequência estão na BNK1CRA-043. Trecho de código extenso e repetitivo (INSPECT com contagem por dígito).</t>
  </si>
  <si>
    <t>BNK1CRA-043</t>
  </si>
  <si>
    <t>1116</t>
  </si>
  <si>
    <t>1118-1154</t>
  </si>
  <si>
    <t>There are two numerics</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</si>
  <si>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t>
  </si>
  <si>
    <t>Se o valor numérico informado for igual a zero, a entrada é considerada inválida e é exibida a mensagem 'Please supply a non-zero amount.'</t>
  </si>
  <si>
    <t>[Rascunho] As linhas iniciais (1118-1130) são a consequência da regra da BNK1CRA-042. O trecho também define a entrada como válida (VALID-DATA-SW = 'Y') quando todas as validações passam. O comentário 'There are two numerics' não descreve o que o código faz.</t>
  </si>
  <si>
    <t>BNK1TFN-001</t>
  </si>
  <si>
    <t>180-181</t>
  </si>
  <si>
    <t>183-186</t>
  </si>
  <si>
    <t xml:space="preserve">       WHEN EIBCALEN = ZERO
          MOVE LOW-VALUE TO BNK1TFO
          SET SEND-ERASE TO TRUE
          PERFORM SEND-MAP</t>
  </si>
  <si>
    <t>BNK1TFN-002</t>
  </si>
  <si>
    <t>189</t>
  </si>
  <si>
    <t>191-192</t>
  </si>
  <si>
    <t>BNK1TFN-003</t>
  </si>
  <si>
    <t>195</t>
  </si>
  <si>
    <t>197-203</t>
  </si>
  <si>
    <t>BNK1TFN-004</t>
  </si>
  <si>
    <t>206-207</t>
  </si>
  <si>
    <t>209-213</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</si>
  <si>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206-213).</t>
  </si>
  <si>
    <t>BNK1TFN-005</t>
  </si>
  <si>
    <t>216</t>
  </si>
  <si>
    <t>218-224</t>
  </si>
  <si>
    <t>BNK1TFN-006</t>
  </si>
  <si>
    <t>227</t>
  </si>
  <si>
    <t>229-230</t>
  </si>
  <si>
    <t>[Rascunho] Regra de interface (fluxo de teclas e telas), não de domínio bancário; decidir a categoria com o orientador junto com as demais teclas de função (BNK1CRA-001 a 007 e BNK1TFN-001 a 007). É o gatilho do processamento de negócio; a regra em si está na BNK1TFN-014.</t>
  </si>
  <si>
    <t>BNK1TFN-007</t>
  </si>
  <si>
    <t>233</t>
  </si>
  <si>
    <t>235-237</t>
  </si>
  <si>
    <t xml:space="preserve">       WHEN OTHER
          MOVE LOW-VALUES TO BNK1TFO
          MOVE 'Invalid key pressed.' TO MESSAGEO</t>
  </si>
  <si>
    <t>[Rascunho] Regra de interface (fluxo de teclas e telas), não de domínio bancário; decidir a categoria com o orientador junto com as demais teclas de função (BNK1CRA-001 a 007 e BNK1TFN-001 a 007). Código parcial: o extrator cortou antes do restante (SET SEND-DATAONLY-ALARM, PERFORM SEND-MAP e END-EVALUATE), registrado na BNK1TFN-008 (Descartados) como possível código desativado.</t>
  </si>
  <si>
    <t>BNK1TFN-009</t>
  </si>
  <si>
    <t>245</t>
  </si>
  <si>
    <t>247-255</t>
  </si>
  <si>
    <t>Now RETURN</t>
  </si>
  <si>
    <t xml:space="preserve">     EXEC CICS
        RETURN TRANSID('OTFN')
        COMMAREA(WS-COMMAREA)
        LENGTH(29)
        RESP(WS-CICS-RESP)
        RESP2(WS-CICS-RESP2)
     END-EXEC.
    IF WS-CICS-RESP NOT = DFHRESP(NORMAL)</t>
  </si>
  <si>
    <t>[Rascunho] Retorno pseudo-conversacional (RETURN TRANSID com COMMAREA) e verificação do RESP; controle de transação.</t>
  </si>
  <si>
    <t>BNK1TFN-010</t>
  </si>
  <si>
    <t>257-260</t>
  </si>
  <si>
    <t>262-264</t>
  </si>
  <si>
    <t>BNK1TFN-014</t>
  </si>
  <si>
    <t>333-334</t>
  </si>
  <si>
    <t>336-340</t>
  </si>
  <si>
    <t>If the data passes validation go on to get an account</t>
  </si>
  <si>
    <t xml:space="preserve">    IF VALID-DATA
       PERFORM GET-ACC-DATA
    END-IF.
    SET SEND-DATAONLY-ALARM TO TRUE.</t>
  </si>
  <si>
    <t>Se os dados informados passarem na validação (VALID-DATA), a transferência é solicitada ao programa XFRFUN (GET-ACC-DATA).</t>
  </si>
  <si>
    <t>BNK1TFN-016</t>
  </si>
  <si>
    <t>354</t>
  </si>
  <si>
    <t>356-364</t>
  </si>
  <si>
    <t xml:space="preserve">    EXEC CICS
       RECEIVE MAP('BNK1TF')
       MAPSET('BNK1TFM')
       INTO(BNK1TFI)
       RESP(WS-CICS-RESP)
       RESP2(WS-CICS-RESP2)
    END-EXEC.
    IF WS-CICS-RESP NOT = DFHRESP(NORMAL)</t>
  </si>
  <si>
    <t>BNK1TFN-017</t>
  </si>
  <si>
    <t>366-369</t>
  </si>
  <si>
    <t>371-373</t>
  </si>
  <si>
    <t>BNK1TFN-019</t>
  </si>
  <si>
    <t>431</t>
  </si>
  <si>
    <t>433-467</t>
  </si>
  <si>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</si>
  <si>
    <t>1. Se o número da conta de origem informado não for numérico, a entrada é considerada inválida e é exibida a mensagem 'Please enter a FROM account no'.
2. Se o número da conta de destino informado não for numérico, a entrada é considerada inválida e é exibida a mensagem 'Please enter a TO account no'.
3. Se as contas de origem e de destino informadas forem iguais, a entrada é considerada inválida e é exibida a mensagem 'The FROM &amp; TO account should be different'.
4. Se a conta de origem ou a de destino for 00000000, a entrada é considerada inválida e é exibida a mensagem 'Account no 00000000 is not valid'.</t>
  </si>
  <si>
    <t>[Rascunho] Linha vale por quatro regras. A restrição de contas iguais também existe no XFRFUN-003 (ABEND 'SAME'): a tela barra antes de chegar ao programa de negócio.</t>
  </si>
  <si>
    <t>BNK1TFN-022</t>
  </si>
  <si>
    <t>494-504</t>
  </si>
  <si>
    <t xml:space="preserve">    MOVE WS-AMOUNT-AS-FLOAT TO SUBPGM-AMT.
    EXEC CICS LINK
       PROGRAM('XFRFUN')
       COMMAREA(SUBPGM-PARMS)
       RESP(WS-CICS-RESP)
       RESP2(WS-CICS-RESP2)
       SYNCONRETURN
    END-EXEC.
    IF WS-CICS-RESP NOT = DFHRESP(NORMAL)</t>
  </si>
  <si>
    <t>[Rascunho] Chamada ao XFRFUN (LINK) com verificação do RESP. O comentário ('Provide the correct Amount') não corresponde ao conteúdo principal do trecho.</t>
  </si>
  <si>
    <t>BNK1TFN-023</t>
  </si>
  <si>
    <t>506-509</t>
  </si>
  <si>
    <t>511-513</t>
  </si>
  <si>
    <t>BNK1TFN-026</t>
  </si>
  <si>
    <t>580-581</t>
  </si>
  <si>
    <t>582-617</t>
  </si>
  <si>
    <t>If an error was flagged by XFRFUN then set up an appropriate error message.</t>
  </si>
  <si>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t>
  </si>
  <si>
    <t>1. Se a transferência não for bem-sucedida e o código de falha for '1', é exibida a mensagem de conta de origem não encontrada e transferência não aplicada.
2. Se a transferência não for bem-sucedida e o código de falha for '2', é exibida a mensagem de conta de destino não encontrada e transferência não aplicada.
3. Se a transferência não for bem-sucedida e o código de falha for '3', é exibida a mensagem de erro inesperado.
4. Se a transferência não for bem-sucedida e o código de falha for '4', é exibida a mensagem 'Please supply an amount greater than zero.'
5. Se a transferência não for bem-sucedida e o código de falha for outro, é exibida a mensagem de erro na transferência.</t>
  </si>
  <si>
    <t>[Rascunho] Linha vale por cinco regras; avaliar se divide em entradas. O WHEN '3' não tem GO TO GCD999 (as demais têm): o fluxo segue após o END-EVALUATE. O ELSE (sucesso) fica após o trecho: conferir no fonte (linhas 580-625).</t>
  </si>
  <si>
    <t>BNK1TFN-028</t>
  </si>
  <si>
    <t>665-669</t>
  </si>
  <si>
    <t>671-680</t>
  </si>
  <si>
    <t>Send/show the MAP If the map needs to have its data erased</t>
  </si>
  <si>
    <t xml:space="preserve">    IF SEND-ERASE
       EXEC CICS SEND MAP('BNK1TF')
          MAPSET('BNK1TFM')
          FROM(BNK1TFO)
          ERASE
          RESP(WS-CICS-RESP)
          RESP2(WS-CICS-RESP2)
       END-EXEC
       IF WS-CICS-RESP NOT = DFHRESP(NORMAL)</t>
  </si>
  <si>
    <t>BNK1TFN-029</t>
  </si>
  <si>
    <t>682-685</t>
  </si>
  <si>
    <t>687-689</t>
  </si>
  <si>
    <t>BNK1TFN-031</t>
  </si>
  <si>
    <t>743</t>
  </si>
  <si>
    <t>745-754</t>
  </si>
  <si>
    <t xml:space="preserve">    IF SEND-DATAONLY
       EXEC CICS SEND MAP('BNK1TF')
          MAPSET('BNK1TFM')
          FROM(BNK1TFO)
          DATAONLY
          RESP(WS-CICS-RESP)
          RESP2(WS-CICS-RESP2)
       END-EXEC
       IF WS-CICS-RESP NOT = DFHRESP(NORMAL)</t>
  </si>
  <si>
    <t>BNK1TFN-032</t>
  </si>
  <si>
    <t>756-759</t>
  </si>
  <si>
    <t>761-763</t>
  </si>
  <si>
    <t>BNK1TFN-034</t>
  </si>
  <si>
    <t>819-829</t>
  </si>
  <si>
    <t xml:space="preserve">    IF SEND-DATAONLY-ALARM
       EXEC CICS SEND MAP('BNK1TF')
          MAPSET('BNK1TFM')
          FROM(BNK1TFO)
          DATAONLY
          ALARM
          RESP(WS-CICS-RESP)
          RESP2(WS-CICS-RESP2)
       END-EXEC
       IF WS-CICS-RESP NOT = DFHRESP(NORMAL)</t>
  </si>
  <si>
    <t>BNK1TFN-035</t>
  </si>
  <si>
    <t>831-834</t>
  </si>
  <si>
    <t>836-838</t>
  </si>
  <si>
    <t>BNK1TFN-037</t>
  </si>
  <si>
    <t>897</t>
  </si>
  <si>
    <t>899-907</t>
  </si>
  <si>
    <t>BNK1TFN-038</t>
  </si>
  <si>
    <t>909-912</t>
  </si>
  <si>
    <t>914-916</t>
  </si>
  <si>
    <t>BNK1TFN-040</t>
  </si>
  <si>
    <t>973</t>
  </si>
  <si>
    <t>975-986</t>
  </si>
  <si>
    <t>Issue an abend</t>
  </si>
  <si>
    <t xml:space="preserve">    DISPLAY WS-FAIL-INFO.
    EXEC CICS ABEND
       ABCODE('HBNK')
       NODUMP
    END-EXEC.
ATT999.
    EXIT.
VALIDATE-AMOUNT SECTION.
VA010.</t>
  </si>
  <si>
    <t>[Rascunho] Exibição de WS-FAIL-INFO e ABEND 'HBNK'; tratamento técnico de falha.</t>
  </si>
  <si>
    <t>BNK1TFN-041</t>
  </si>
  <si>
    <t>988-989</t>
  </si>
  <si>
    <t>991-999</t>
  </si>
  <si>
    <t>Validate the amount entered. Is it greater than 0?</t>
  </si>
  <si>
    <t xml:space="preserve">    IF AMTL = ZERO
       MOVE 'The Amount entered must be numeric.' TO
          MESSAGEO
       MOVE 'N' TO VALID-DATA-SW
       MOVE -1 TO AMTL
       GO TO VA999
    END-IF
    IF AMTI(1:AMTL) IS NUMERIC</t>
  </si>
  <si>
    <t>Se o campo de valor estiver vazio (comprimento zero), a entrada é considerada inválida e é exibida a mensagem 'The Amount entered must be numeric.'</t>
  </si>
  <si>
    <t>[Rascunho] O comentário pergunta 'Is it greater than 0?', mas o teste é de comprimento do campo (AMTL = ZERO). O trecho abre o IF AMTI IS NUMERIC, cuja consequência está na BNK1TFN-042.</t>
  </si>
  <si>
    <t>BNK1TFN-042</t>
  </si>
  <si>
    <t>1001</t>
  </si>
  <si>
    <t>1003-1021</t>
  </si>
  <si>
    <t>Is it a positive amount?</t>
  </si>
  <si>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</si>
  <si>
    <t>1. Se o valor informado for numérico e menor ou igual a zero, a entrada é considerada inválida e é exibida a mensagem 'Please supply a positive amount.'
2. Se o valor informado for numérico e maior que zero, a entrada é considerada válida.</t>
  </si>
  <si>
    <t>[Rascunho] Linha vale por duas regras. Aplica-se só a valores inteiros (IS NUMERIC); valores com ponto decimal seguem o fluxo das linhas 043 a 048.</t>
  </si>
  <si>
    <t>BNK1TFN-043</t>
  </si>
  <si>
    <t>1024</t>
  </si>
  <si>
    <t>1026-1063</t>
  </si>
  <si>
    <t>Check if it is numeric</t>
  </si>
  <si>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t>
  </si>
  <si>
    <t>[Rascunho] Trecho truncado (30 linhas): o restante (UNSTRING, contagem de caracteres) é procedural; linha [D] ignorada (depuração). Conferir o fonte a partir da linha 1026.</t>
  </si>
  <si>
    <t>BNK1TFN-044</t>
  </si>
  <si>
    <t>1080-1081</t>
  </si>
  <si>
    <t>1083-1091</t>
  </si>
  <si>
    <t>We no longer support transferring negative amounts. Any - sign is a deal breaker!</t>
  </si>
  <si>
    <t xml:space="preserve">    IF WS-NUM-COUNT-MINUS &gt; 0
       MOVE SPACES TO MESSAGEO
       STRING 'Please supply a positive amount.'
          DELIMITED BY SIZE,
          INTO MESSAGEO
       MOVE 'N' TO VALID-DATA-SW
       MOVE -1 TO AMTL
       GO TO VA999
    END-IF.</t>
  </si>
  <si>
    <t>Se o valor informado contiver sinal de menos, a entrada é considerada inválida e é exibida a mensagem 'Please supply a positive amount.'</t>
  </si>
  <si>
    <t>[Rascunho] Diferente do BNK1CRA, que aceita sinal '-' e trata como débito: a transferência não admite valor negativo.</t>
  </si>
  <si>
    <t>BNK1TFN-045</t>
  </si>
  <si>
    <t>1094-1098</t>
  </si>
  <si>
    <t>1100-1120</t>
  </si>
  <si>
    <t>The idea here is that if there is a decimal point, the field is not numeric. But if it is 1.1 then it is valid. So first of all we check to see that only the above chars are OK. We DO NOT tolerate embedded spaces too.</t>
  </si>
  <si>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</si>
  <si>
    <t>[Rascunho] Linha vale por duas regras. Equivalente à BNK1CRA-040.</t>
  </si>
  <si>
    <t>BNK1TFN-046</t>
  </si>
  <si>
    <t>1123</t>
  </si>
  <si>
    <t>1125-1138</t>
  </si>
  <si>
    <t>Check to make sure we only have 0 to 1 decimal points</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</si>
  <si>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</si>
  <si>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[Rascunho] Equivalente à BNK1CRA-041.</t>
  </si>
  <si>
    <t>BNK1TFN-047</t>
  </si>
  <si>
    <t>1140</t>
  </si>
  <si>
    <t>1142-1171</t>
  </si>
  <si>
    <t>Check to see if we have too many decimals!</t>
  </si>
  <si>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</si>
  <si>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[Rascunho] A condição está nesta linha (IF aninhado); a mensagem e a consequência estão na BNK1TFN-048. Linhas [D] ignoradas (depuração). Equivalente à BNK1CRA-042.</t>
  </si>
  <si>
    <t>BNK1TFN-048</t>
  </si>
  <si>
    <t>1173</t>
  </si>
  <si>
    <t>1175-1208</t>
  </si>
  <si>
    <t>More than two of them are numeric</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</si>
  <si>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</si>
  <si>
    <t>[Rascunho] As linhas iniciais (1175-1188) são a consequência da regra da BNK1TFN-047. O trecho também define a entrada como válida (VALID-DATA-SW = 'Y') quando todas as validações passam. O comentário 'More than two of them are numeric' descreve a contagem de dígitos após o ponto. Equivalente à BNK1CRA-043.</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</si>
</sst>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theme="1"/>
      <name val="Arial"/>
    </font>
    <font>
      <b/>
      <sz val="10.0"/>
      <color theme="1"/>
      <name val="Arial"/>
    </font>
    <font>
      <sz val="10.0"/>
      <color theme="1"/>
      <name val="Arial"/>
    </font>
    <font>
      <b/>
      <sz val="10.0"/>
      <color rgb="FFFFFFFF"/>
      <name val="Arial"/>
    </font>
    <font>
      <sz val="9.0"/>
      <color theme="1"/>
      <name val="Courier New"/>
    </font>
    <font>
      <color theme="1"/>
      <name val="Calibri"/>
      <scheme val="minor"/>
    </font>
    <font>
      <sz val="10.0"/>
      <color rgb="FF0000FF"/>
      <name val="Arial"/>
    </font>
    <font>
      <sz val="10.0"/>
      <color rgb="FF000000"/>
      <name val="Arial"/>
    </font>
  </fonts>
  <fills count="4">
    <fill>
      <patternFill patternType="none"/>
    </fill>
    <fill>
      <patternFill patternType="lightGray"/>
    </fill>
    <fill>
      <patternFill patternType="solid">
        <fgColor rgb="FF2F4F6F"/>
        <bgColor rgb="FF2F4F6F"/>
      </patternFill>
    </fill>
    <fill>
      <patternFill patternType="solid">
        <fgColor rgb="FFFFF9DB"/>
        <bgColor rgb="FFFFF9DB"/>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1"/>
    </xf>
    <xf borderId="0" fillId="0" fontId="3" numFmtId="0" xfId="0" applyAlignment="1" applyFont="1">
      <alignment shrinkToFit="0" vertical="top" wrapText="1"/>
    </xf>
    <xf borderId="1" fillId="2" fontId="4" numFmtId="0" xfId="0" applyAlignment="1" applyBorder="1" applyFill="1" applyFont="1">
      <alignment shrinkToFit="0" vertical="center" wrapText="1"/>
    </xf>
    <xf borderId="0" fillId="0" fontId="3" numFmtId="0" xfId="0" applyAlignment="1" applyFont="1">
      <alignment readingOrder="0" shrinkToFit="0" vertical="top" wrapText="1"/>
    </xf>
    <xf borderId="0" fillId="0" fontId="5" numFmtId="0" xfId="0" applyAlignment="1" applyFont="1">
      <alignment shrinkToFit="0" vertical="top" wrapText="1"/>
    </xf>
    <xf borderId="0" fillId="0" fontId="6" numFmtId="0" xfId="0" applyAlignment="1" applyFont="1">
      <alignment vertical="center"/>
    </xf>
    <xf borderId="0" fillId="0" fontId="3" numFmtId="0" xfId="0" applyAlignment="1" applyFont="1">
      <alignment shrinkToFit="0" vertical="bottom" wrapText="0"/>
    </xf>
    <xf borderId="1" fillId="3" fontId="7" numFmtId="0" xfId="0" applyAlignment="1" applyBorder="1" applyFill="1" applyFont="1">
      <alignment shrinkToFit="0" vertical="top" wrapText="1"/>
    </xf>
    <xf borderId="1" fillId="3" fontId="3" numFmtId="0" xfId="0" applyAlignment="1" applyBorder="1" applyFill="1" applyFont="1">
      <alignment readingOrder="0" shrinkToFit="0" vertical="top" wrapText="1"/>
    </xf>
    <xf borderId="1" fillId="3" fontId="8" numFmtId="0" xfId="0" applyAlignment="1" applyBorder="1" applyFill="1" applyFont="1">
      <alignment shrinkToFit="0" vertical="top" wrapText="1"/>
    </xf>
    <xf borderId="1" fillId="3" fontId="8" numFmtId="0" xfId="0" applyAlignment="1" applyBorder="1" applyFill="1" applyFont="1">
      <alignment readingOrder="0" shrinkToFit="0" vertical="top" wrapText="1"/>
    </xf>
    <xf borderId="0" fillId="0" fontId="3" numFmtId="0" xfId="0" applyAlignment="1" applyFont="1">
      <alignment readingOrder="0" shrinkToFit="0" vertical="bottom" wrapText="0"/>
    </xf>
    <xf borderId="1" fillId="3" fontId="3" numFmtId="0" xfId="0" applyAlignment="1" applyBorder="1" applyFill="1" applyFont="1">
      <alignment shrinkToFit="0" vertical="top" wrapText="1"/>
    </xf>
    <xf borderId="1" fillId="3" fontId="7" numFmtId="0" xfId="0" applyAlignment="1" applyBorder="1" applyFill="1" applyFont="1">
      <alignment readingOrder="0" shrinkToFit="0" vertical="top" wrapText="1"/>
    </xf>
    <xf borderId="0" fillId="0" fontId="2" numFmtId="0" xfId="0" applyAlignment="1" applyFont="1">
      <alignment shrinkToFit="0" vertical="bottom" wrapText="0"/>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0.0"/>
    <col customWidth="1" min="3" max="26" width="8.71"/>
  </cols>
  <sheetData>
    <row r="1">
      <c r="A1" s="1" t="s">
        <v>0</v>
      </c>
    </row>
    <row r="2">
      <c r="A2" s="2"/>
    </row>
    <row r="3">
      <c r="A3" s="2" t="s">
        <v>1</v>
      </c>
      <c r="B3" s="3" t="s">
        <v>2</v>
      </c>
    </row>
    <row r="4">
      <c r="A4" s="2" t="s">
        <v>5</v>
      </c>
      <c r="B4" s="5" t="s">
        <v>6</v>
      </c>
    </row>
    <row r="5">
      <c r="A5" s="2" t="s">
        <v>10</v>
      </c>
      <c r="B5" s="5" t="s">
        <v>13</v>
      </c>
    </row>
    <row r="6">
      <c r="A6" s="2" t="s">
        <v>16</v>
      </c>
      <c r="B6" s="5" t="s">
        <v>18</v>
      </c>
    </row>
    <row r="7">
      <c r="A7" s="2" t="s">
        <v>21</v>
      </c>
      <c r="B7" s="3" t="s">
        <v>24</v>
      </c>
    </row>
    <row r="8">
      <c r="A8" s="2" t="s">
        <v>19</v>
      </c>
      <c r="B8" s="3" t="s">
        <v>31</v>
      </c>
    </row>
    <row r="9">
      <c r="A9" s="2" t="s">
        <v>35</v>
      </c>
      <c r="B9" s="3" t="s">
        <v>38</v>
      </c>
    </row>
    <row r="10">
      <c r="A10" s="2"/>
    </row>
    <row r="11">
      <c r="A11" s="2" t="s">
        <v>43</v>
      </c>
      <c r="B11" s="3" t="s">
        <v>48</v>
      </c>
    </row>
    <row r="12">
      <c r="A12" s="7"/>
    </row>
    <row r="13">
      <c r="A13" s="2" t="s">
        <v>55</v>
      </c>
      <c r="B13" s="3" t="s">
        <v>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71"/>
    <col customWidth="1" min="2" max="4" width="12.0"/>
    <col customWidth="1" min="5" max="6" width="10.0"/>
    <col customWidth="1" min="7" max="7" width="12.0"/>
    <col customWidth="1" min="8" max="8" width="11.0"/>
    <col customWidth="1" min="9" max="9" width="13.0"/>
    <col customWidth="1" min="10" max="10" width="16.0"/>
    <col customWidth="1" min="11" max="13" width="11.0"/>
    <col customWidth="1" min="14" max="26" width="8.71"/>
  </cols>
  <sheetData>
    <row r="1" ht="30.0" customHeight="1">
      <c r="A1" s="4" t="s">
        <v>3</v>
      </c>
      <c r="B1" s="4" t="s">
        <v>8</v>
      </c>
      <c r="C1" s="4" t="s">
        <v>11</v>
      </c>
      <c r="D1" s="4" t="s">
        <v>15</v>
      </c>
      <c r="E1" s="4" t="s">
        <v>20</v>
      </c>
      <c r="F1" s="4" t="s">
        <v>23</v>
      </c>
      <c r="G1" s="4" t="s">
        <v>26</v>
      </c>
      <c r="H1" s="4" t="s">
        <v>28</v>
      </c>
      <c r="I1" s="4" t="s">
        <v>34</v>
      </c>
      <c r="J1" s="4" t="s">
        <v>37</v>
      </c>
      <c r="K1" s="4" t="s">
        <v>42</v>
      </c>
      <c r="L1" s="4" t="s">
        <v>46</v>
      </c>
      <c r="M1" s="4" t="s">
        <v>49</v>
      </c>
    </row>
    <row r="2">
      <c r="A2" s="8" t="s">
        <v>27</v>
      </c>
      <c r="B2" s="8">
        <f t="shared" ref="B2:B5" si="1">C2+D2</f>
        <v>33</v>
      </c>
      <c r="C2" s="13">
        <f>COUNTIF(Candidatos!$B:$B,$A2)</f>
        <v>18</v>
      </c>
      <c r="D2" s="8">
        <f>COUNTIF(Descartados!$B:$B,$A2)</f>
        <v>15</v>
      </c>
      <c r="E2" s="8">
        <f>COUNTIFS(Candidatos!$B:$B,$A2,Candidatos!$G:$G,"Decisão")</f>
        <v>7</v>
      </c>
      <c r="F2" s="8">
        <f>COUNTIFS(Candidatos!$B:$B,$A2,Candidatos!$G:$G,"Falha")</f>
        <v>4</v>
      </c>
      <c r="G2" s="8">
        <f>COUNTIFS(Candidatos!$B:$B,$A2,Candidatos!$G:$G,"Decisão e falha")</f>
        <v>7</v>
      </c>
      <c r="H2" s="8">
        <f>COUNTIFS(Candidatos!$B:$B,$A2,Candidatos!$I:$I,"&lt;&gt;")</f>
        <v>3</v>
      </c>
      <c r="I2" s="8">
        <f>COUNTIFS(Candidatos!$B:$B,$A2,Candidatos!$K:$K,"regra de negócio")</f>
        <v>7</v>
      </c>
      <c r="J2" s="13">
        <f>COUNTIFS(Candidatos!$B:$B,$A2,Candidatos!$K:$K,"infraestrutura (excluída)")</f>
        <v>11</v>
      </c>
      <c r="K2" s="13">
        <f>COUNTIFS(Candidatos!$B:$B,$A2,Candidatos!$K:$K,"a discutir")</f>
        <v>0</v>
      </c>
      <c r="L2" s="13">
        <f>COUNTIFS(Candidatos!$B:$B,$A2,Candidatos!$L:$L,"Validado")</f>
        <v>18</v>
      </c>
      <c r="M2" s="8">
        <f t="shared" ref="M2:M5" si="2">C2-L2</f>
        <v>0</v>
      </c>
    </row>
    <row r="3">
      <c r="A3" s="8" t="s">
        <v>212</v>
      </c>
      <c r="B3" s="8">
        <f t="shared" si="1"/>
        <v>70</v>
      </c>
      <c r="C3" s="8">
        <f>COUNTIF(Candidatos!$B:$B,$A3)</f>
        <v>39</v>
      </c>
      <c r="D3" s="8">
        <f>COUNTIF(Descartados!$B:$B,$A3)</f>
        <v>31</v>
      </c>
      <c r="E3" s="8">
        <f>COUNTIFS(Candidatos!$B:$B,$A3,Candidatos!$G:$G,"Decisão")</f>
        <v>10</v>
      </c>
      <c r="F3" s="8">
        <f>COUNTIFS(Candidatos!$B:$B,$A3,Candidatos!$G:$G,"Falha")</f>
        <v>16</v>
      </c>
      <c r="G3" s="8">
        <f>COUNTIFS(Candidatos!$B:$B,$A3,Candidatos!$G:$G,"Decisão e falha")</f>
        <v>13</v>
      </c>
      <c r="H3" s="8">
        <f>COUNTIFS(Candidatos!$B:$B,$A3,Candidatos!$I:$I,"&lt;&gt;")</f>
        <v>4</v>
      </c>
      <c r="I3" s="8">
        <f>COUNTIFS(Candidatos!$B:$B,$A3,Candidatos!$K:$K,"regra de negócio")</f>
        <v>7</v>
      </c>
      <c r="J3" s="8">
        <f>COUNTIFS(Candidatos!$B:$B,$A3,Candidatos!$K:$K,"infraestrutura (excluída)")</f>
        <v>30</v>
      </c>
      <c r="K3" s="8">
        <f>COUNTIFS(Candidatos!$B:$B,$A3,Candidatos!$K:$K,"a discutir")</f>
        <v>2</v>
      </c>
      <c r="L3" s="8">
        <f>COUNTIFS(Candidatos!$B:$B,$A3,Candidatos!$L:$L,"Validado")</f>
        <v>0</v>
      </c>
      <c r="M3" s="8">
        <f t="shared" si="2"/>
        <v>39</v>
      </c>
    </row>
    <row r="4">
      <c r="A4" s="8" t="s">
        <v>445</v>
      </c>
      <c r="B4" s="8">
        <f t="shared" si="1"/>
        <v>43</v>
      </c>
      <c r="C4" s="8">
        <f>COUNTIF(Candidatos!$B:$B,$A4)</f>
        <v>30</v>
      </c>
      <c r="D4" s="8">
        <f>COUNTIF(Descartados!$B:$B,$A4)</f>
        <v>13</v>
      </c>
      <c r="E4" s="8">
        <f>COUNTIFS(Candidatos!$B:$B,$A4,Candidatos!$G:$G,"Decisão")</f>
        <v>16</v>
      </c>
      <c r="F4" s="8">
        <f>COUNTIFS(Candidatos!$B:$B,$A4,Candidatos!$G:$G,"Falha")</f>
        <v>7</v>
      </c>
      <c r="G4" s="8">
        <f>COUNTIFS(Candidatos!$B:$B,$A4,Candidatos!$G:$G,"Decisão e falha")</f>
        <v>7</v>
      </c>
      <c r="H4" s="8">
        <f>COUNTIFS(Candidatos!$B:$B,$A4,Candidatos!$I:$I,"&lt;&gt;")</f>
        <v>4</v>
      </c>
      <c r="I4" s="8">
        <f>COUNTIFS(Candidatos!$B:$B,$A4,Candidatos!$K:$K,"regra de negócio")</f>
        <v>9</v>
      </c>
      <c r="J4" s="8">
        <f>COUNTIFS(Candidatos!$B:$B,$A4,Candidatos!$K:$K,"infraestrutura (excluída)")</f>
        <v>14</v>
      </c>
      <c r="K4" s="8">
        <f>COUNTIFS(Candidatos!$B:$B,$A4,Candidatos!$K:$K,"a discutir")</f>
        <v>7</v>
      </c>
      <c r="L4" s="8">
        <f>COUNTIFS(Candidatos!$B:$B,$A4,Candidatos!$L:$L,"Validado")</f>
        <v>0</v>
      </c>
      <c r="M4" s="8">
        <f t="shared" si="2"/>
        <v>30</v>
      </c>
    </row>
    <row r="5">
      <c r="A5" s="8" t="s">
        <v>582</v>
      </c>
      <c r="B5" s="8">
        <f t="shared" si="1"/>
        <v>49</v>
      </c>
      <c r="C5" s="8">
        <f>COUNTIF(Candidatos!$B:$B,$A5)</f>
        <v>33</v>
      </c>
      <c r="D5" s="8">
        <f>COUNTIF(Descartados!$B:$B,$A5)</f>
        <v>16</v>
      </c>
      <c r="E5" s="8">
        <f>COUNTIFS(Candidatos!$B:$B,$A5,Candidatos!$G:$G,"Decisão")</f>
        <v>18</v>
      </c>
      <c r="F5" s="8">
        <f>COUNTIFS(Candidatos!$B:$B,$A5,Candidatos!$G:$G,"Falha")</f>
        <v>8</v>
      </c>
      <c r="G5" s="8">
        <f>COUNTIFS(Candidatos!$B:$B,$A5,Candidatos!$G:$G,"Decisão e falha")</f>
        <v>7</v>
      </c>
      <c r="H5" s="8">
        <f>COUNTIFS(Candidatos!$B:$B,$A5,Candidatos!$I:$I,"&lt;&gt;")</f>
        <v>5</v>
      </c>
      <c r="I5" s="8">
        <f>COUNTIFS(Candidatos!$B:$B,$A5,Candidatos!$K:$K,"regra de negócio")</f>
        <v>11</v>
      </c>
      <c r="J5" s="8">
        <f>COUNTIFS(Candidatos!$B:$B,$A5,Candidatos!$K:$K,"infraestrutura (excluída)")</f>
        <v>15</v>
      </c>
      <c r="K5" s="8">
        <f>COUNTIFS(Candidatos!$B:$B,$A5,Candidatos!$K:$K,"a discutir")</f>
        <v>7</v>
      </c>
      <c r="L5" s="8">
        <f>COUNTIFS(Candidatos!$B:$B,$A5,Candidatos!$L:$L,"Validado")</f>
        <v>0</v>
      </c>
      <c r="M5" s="8">
        <f t="shared" si="2"/>
        <v>33</v>
      </c>
    </row>
    <row r="6">
      <c r="A6" s="16" t="s">
        <v>708</v>
      </c>
      <c r="B6" s="16">
        <f t="shared" ref="B6:L6" si="3">SUM(B2:B5)</f>
        <v>195</v>
      </c>
      <c r="C6" s="16">
        <f t="shared" si="3"/>
        <v>120</v>
      </c>
      <c r="D6" s="16">
        <f t="shared" si="3"/>
        <v>75</v>
      </c>
      <c r="E6" s="16">
        <f t="shared" si="3"/>
        <v>51</v>
      </c>
      <c r="F6" s="16">
        <f t="shared" si="3"/>
        <v>35</v>
      </c>
      <c r="G6" s="16">
        <f t="shared" si="3"/>
        <v>34</v>
      </c>
      <c r="H6" s="16">
        <f t="shared" si="3"/>
        <v>16</v>
      </c>
      <c r="I6" s="16">
        <f t="shared" si="3"/>
        <v>34</v>
      </c>
      <c r="J6" s="16">
        <f t="shared" si="3"/>
        <v>70</v>
      </c>
      <c r="K6" s="16">
        <f t="shared" si="3"/>
        <v>16</v>
      </c>
      <c r="L6" s="16">
        <f t="shared" si="3"/>
        <v>18</v>
      </c>
      <c r="M6" s="16"/>
    </row>
    <row r="8">
      <c r="A8" s="17" t="s">
        <v>744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3.43"/>
    <col customWidth="1" min="3" max="3" width="16.43"/>
    <col customWidth="1" min="4" max="4" width="16.86"/>
    <col customWidth="1" min="5" max="5" width="60.0"/>
    <col customWidth="1" min="6" max="6" width="72.0"/>
    <col customWidth="1" min="7" max="8" width="15.0"/>
    <col customWidth="1" min="9" max="9" width="24.0"/>
    <col customWidth="1" min="10" max="10" width="50.0"/>
    <col customWidth="1" min="11" max="11" width="20.0"/>
    <col customWidth="1" min="12" max="12" width="12.0"/>
    <col customWidth="1" min="13" max="13" width="30.0"/>
    <col customWidth="1" min="14" max="26" width="8.71"/>
  </cols>
  <sheetData>
    <row r="1" ht="30.0" customHeight="1">
      <c r="A1" s="4" t="s">
        <v>4</v>
      </c>
      <c r="B1" s="4" t="s">
        <v>3</v>
      </c>
      <c r="C1" s="4" t="s">
        <v>7</v>
      </c>
      <c r="D1" s="4" t="s">
        <v>9</v>
      </c>
      <c r="E1" s="4" t="s">
        <v>12</v>
      </c>
      <c r="F1" s="4" t="s">
        <v>14</v>
      </c>
      <c r="G1" s="4" t="s">
        <v>30</v>
      </c>
      <c r="H1" s="4" t="s">
        <v>33</v>
      </c>
      <c r="I1" s="4" t="s">
        <v>19</v>
      </c>
      <c r="J1" s="4" t="s">
        <v>39</v>
      </c>
      <c r="K1" s="4" t="s">
        <v>41</v>
      </c>
      <c r="L1" s="4" t="s">
        <v>44</v>
      </c>
      <c r="M1" s="4" t="s">
        <v>47</v>
      </c>
    </row>
    <row r="2">
      <c r="A2" s="3" t="s">
        <v>51</v>
      </c>
      <c r="B2" s="3" t="s">
        <v>27</v>
      </c>
      <c r="C2" s="3" t="s">
        <v>52</v>
      </c>
      <c r="D2" s="3" t="s">
        <v>53</v>
      </c>
      <c r="E2" s="3" t="s">
        <v>54</v>
      </c>
      <c r="F2" s="6" t="s">
        <v>56</v>
      </c>
      <c r="G2" s="3" t="s">
        <v>23</v>
      </c>
      <c r="H2" s="3" t="s">
        <v>58</v>
      </c>
      <c r="I2" s="3"/>
      <c r="J2" s="9"/>
      <c r="K2" s="11" t="s">
        <v>64</v>
      </c>
      <c r="L2" s="10" t="s">
        <v>68</v>
      </c>
      <c r="M2" s="12" t="s">
        <v>72</v>
      </c>
    </row>
    <row r="3">
      <c r="A3" s="3" t="s">
        <v>74</v>
      </c>
      <c r="B3" s="3" t="s">
        <v>27</v>
      </c>
      <c r="C3" s="3" t="s">
        <v>77</v>
      </c>
      <c r="D3" s="3" t="s">
        <v>79</v>
      </c>
      <c r="E3" s="3" t="s">
        <v>81</v>
      </c>
      <c r="F3" s="6" t="s">
        <v>82</v>
      </c>
      <c r="G3" s="3" t="s">
        <v>26</v>
      </c>
      <c r="H3" s="3" t="s">
        <v>83</v>
      </c>
      <c r="I3" s="3"/>
      <c r="J3" s="12" t="s">
        <v>84</v>
      </c>
      <c r="K3" s="11" t="s">
        <v>86</v>
      </c>
      <c r="L3" s="10" t="s">
        <v>68</v>
      </c>
      <c r="M3" s="12" t="s">
        <v>90</v>
      </c>
    </row>
    <row r="4">
      <c r="A4" s="3" t="s">
        <v>92</v>
      </c>
      <c r="B4" s="3" t="s">
        <v>27</v>
      </c>
      <c r="C4" s="3" t="s">
        <v>93</v>
      </c>
      <c r="D4" s="3" t="s">
        <v>94</v>
      </c>
      <c r="E4" s="3" t="s">
        <v>96</v>
      </c>
      <c r="F4" s="6" t="s">
        <v>98</v>
      </c>
      <c r="G4" s="3" t="s">
        <v>20</v>
      </c>
      <c r="H4" s="3" t="s">
        <v>100</v>
      </c>
      <c r="I4" s="3"/>
      <c r="J4" s="11" t="s">
        <v>102</v>
      </c>
      <c r="K4" s="11" t="s">
        <v>86</v>
      </c>
      <c r="L4" s="10" t="s">
        <v>68</v>
      </c>
      <c r="M4" s="12" t="s">
        <v>105</v>
      </c>
    </row>
    <row r="5">
      <c r="A5" s="3" t="s">
        <v>106</v>
      </c>
      <c r="B5" s="3" t="s">
        <v>27</v>
      </c>
      <c r="C5" s="3" t="s">
        <v>107</v>
      </c>
      <c r="D5" s="3" t="s">
        <v>108</v>
      </c>
      <c r="E5" s="3" t="s">
        <v>110</v>
      </c>
      <c r="F5" s="6" t="s">
        <v>112</v>
      </c>
      <c r="G5" s="3" t="s">
        <v>20</v>
      </c>
      <c r="H5" s="3" t="s">
        <v>100</v>
      </c>
      <c r="I5" s="3" t="s">
        <v>114</v>
      </c>
      <c r="J5" s="11" t="s">
        <v>115</v>
      </c>
      <c r="K5" s="11" t="s">
        <v>86</v>
      </c>
      <c r="L5" s="10" t="s">
        <v>68</v>
      </c>
      <c r="M5" s="12" t="s">
        <v>117</v>
      </c>
    </row>
    <row r="6">
      <c r="A6" s="3" t="s">
        <v>118</v>
      </c>
      <c r="B6" s="3" t="s">
        <v>27</v>
      </c>
      <c r="C6" s="3" t="s">
        <v>121</v>
      </c>
      <c r="D6" s="3" t="s">
        <v>122</v>
      </c>
      <c r="E6" s="3" t="s">
        <v>124</v>
      </c>
      <c r="F6" s="6" t="s">
        <v>126</v>
      </c>
      <c r="G6" s="3" t="s">
        <v>20</v>
      </c>
      <c r="H6" s="3" t="s">
        <v>100</v>
      </c>
      <c r="I6" s="3"/>
      <c r="J6" s="11" t="s">
        <v>127</v>
      </c>
      <c r="K6" s="11" t="s">
        <v>86</v>
      </c>
      <c r="L6" s="10" t="s">
        <v>68</v>
      </c>
      <c r="M6" s="12" t="s">
        <v>129</v>
      </c>
    </row>
    <row r="7">
      <c r="A7" s="3" t="s">
        <v>131</v>
      </c>
      <c r="B7" s="3" t="s">
        <v>27</v>
      </c>
      <c r="C7" s="3" t="s">
        <v>133</v>
      </c>
      <c r="D7" s="3" t="s">
        <v>135</v>
      </c>
      <c r="E7" s="3" t="s">
        <v>136</v>
      </c>
      <c r="F7" s="6" t="s">
        <v>138</v>
      </c>
      <c r="G7" s="3" t="s">
        <v>23</v>
      </c>
      <c r="H7" s="3" t="s">
        <v>58</v>
      </c>
      <c r="I7" s="3"/>
      <c r="J7" s="9"/>
      <c r="K7" s="12" t="s">
        <v>64</v>
      </c>
      <c r="L7" s="10" t="s">
        <v>68</v>
      </c>
      <c r="M7" s="12" t="s">
        <v>140</v>
      </c>
    </row>
    <row r="8">
      <c r="A8" s="3" t="s">
        <v>142</v>
      </c>
      <c r="B8" s="3" t="s">
        <v>27</v>
      </c>
      <c r="C8" s="3" t="s">
        <v>145</v>
      </c>
      <c r="D8" s="3" t="s">
        <v>146</v>
      </c>
      <c r="E8" s="3" t="s">
        <v>147</v>
      </c>
      <c r="F8" s="6" t="s">
        <v>148</v>
      </c>
      <c r="G8" s="3" t="s">
        <v>26</v>
      </c>
      <c r="H8" s="3" t="s">
        <v>83</v>
      </c>
      <c r="I8" s="3"/>
      <c r="J8" s="11"/>
      <c r="K8" s="12" t="s">
        <v>64</v>
      </c>
      <c r="L8" s="10" t="s">
        <v>68</v>
      </c>
      <c r="M8" s="12" t="s">
        <v>151</v>
      </c>
    </row>
    <row r="9">
      <c r="A9" s="3" t="s">
        <v>152</v>
      </c>
      <c r="B9" s="3" t="s">
        <v>27</v>
      </c>
      <c r="C9" s="3" t="s">
        <v>154</v>
      </c>
      <c r="D9" s="3" t="s">
        <v>155</v>
      </c>
      <c r="E9" s="3" t="s">
        <v>157</v>
      </c>
      <c r="F9" s="6" t="s">
        <v>159</v>
      </c>
      <c r="G9" s="3" t="s">
        <v>20</v>
      </c>
      <c r="H9" s="3" t="s">
        <v>100</v>
      </c>
      <c r="I9" s="3"/>
      <c r="J9" s="11" t="s">
        <v>160</v>
      </c>
      <c r="K9" s="11" t="s">
        <v>86</v>
      </c>
      <c r="L9" s="10" t="s">
        <v>68</v>
      </c>
      <c r="M9" s="12" t="s">
        <v>163</v>
      </c>
    </row>
    <row r="10">
      <c r="A10" s="3" t="s">
        <v>164</v>
      </c>
      <c r="B10" s="3" t="s">
        <v>27</v>
      </c>
      <c r="C10" s="3" t="s">
        <v>165</v>
      </c>
      <c r="D10" s="3" t="s">
        <v>166</v>
      </c>
      <c r="E10" s="3" t="s">
        <v>168</v>
      </c>
      <c r="F10" s="6" t="s">
        <v>170</v>
      </c>
      <c r="G10" s="3" t="s">
        <v>20</v>
      </c>
      <c r="H10" s="3" t="s">
        <v>100</v>
      </c>
      <c r="I10" s="3"/>
      <c r="J10" s="11" t="s">
        <v>173</v>
      </c>
      <c r="K10" s="11" t="s">
        <v>86</v>
      </c>
      <c r="L10" s="10" t="s">
        <v>68</v>
      </c>
      <c r="M10" s="12" t="s">
        <v>174</v>
      </c>
    </row>
    <row r="11">
      <c r="A11" s="3" t="s">
        <v>175</v>
      </c>
      <c r="B11" s="3" t="s">
        <v>27</v>
      </c>
      <c r="C11" s="3" t="s">
        <v>176</v>
      </c>
      <c r="D11" s="3" t="s">
        <v>177</v>
      </c>
      <c r="E11" s="3" t="s">
        <v>179</v>
      </c>
      <c r="F11" s="6" t="s">
        <v>180</v>
      </c>
      <c r="G11" s="3" t="s">
        <v>20</v>
      </c>
      <c r="H11" s="3" t="s">
        <v>100</v>
      </c>
      <c r="I11" s="3"/>
      <c r="J11" s="11" t="s">
        <v>184</v>
      </c>
      <c r="K11" s="11" t="s">
        <v>86</v>
      </c>
      <c r="L11" s="10" t="s">
        <v>68</v>
      </c>
      <c r="M11" s="12" t="s">
        <v>186</v>
      </c>
    </row>
    <row r="12">
      <c r="A12" s="3" t="s">
        <v>187</v>
      </c>
      <c r="B12" s="3" t="s">
        <v>27</v>
      </c>
      <c r="C12" s="3" t="s">
        <v>188</v>
      </c>
      <c r="D12" s="3" t="s">
        <v>190</v>
      </c>
      <c r="E12" s="3" t="s">
        <v>191</v>
      </c>
      <c r="F12" s="6" t="s">
        <v>193</v>
      </c>
      <c r="G12" s="3" t="s">
        <v>26</v>
      </c>
      <c r="H12" s="3" t="s">
        <v>83</v>
      </c>
      <c r="I12" s="3" t="s">
        <v>196</v>
      </c>
      <c r="J12" s="9"/>
      <c r="K12" s="11" t="s">
        <v>64</v>
      </c>
      <c r="L12" s="10" t="s">
        <v>68</v>
      </c>
      <c r="M12" s="12" t="s">
        <v>199</v>
      </c>
    </row>
    <row r="13">
      <c r="A13" s="3" t="s">
        <v>200</v>
      </c>
      <c r="B13" s="3" t="s">
        <v>27</v>
      </c>
      <c r="C13" s="3" t="s">
        <v>203</v>
      </c>
      <c r="D13" s="3" t="s">
        <v>204</v>
      </c>
      <c r="E13" s="3" t="s">
        <v>205</v>
      </c>
      <c r="F13" s="6" t="s">
        <v>206</v>
      </c>
      <c r="G13" s="3" t="s">
        <v>26</v>
      </c>
      <c r="H13" s="3" t="s">
        <v>83</v>
      </c>
      <c r="I13" s="3"/>
      <c r="J13" s="9"/>
      <c r="K13" s="11" t="s">
        <v>64</v>
      </c>
      <c r="L13" s="10" t="s">
        <v>68</v>
      </c>
      <c r="M13" s="12" t="s">
        <v>208</v>
      </c>
    </row>
    <row r="14">
      <c r="A14" s="3" t="s">
        <v>209</v>
      </c>
      <c r="B14" s="3" t="s">
        <v>27</v>
      </c>
      <c r="C14" s="3" t="s">
        <v>211</v>
      </c>
      <c r="D14" s="3" t="s">
        <v>213</v>
      </c>
      <c r="E14" s="3" t="s">
        <v>215</v>
      </c>
      <c r="F14" s="6" t="s">
        <v>217</v>
      </c>
      <c r="G14" s="3" t="s">
        <v>23</v>
      </c>
      <c r="H14" s="3" t="s">
        <v>58</v>
      </c>
      <c r="I14" s="3"/>
      <c r="J14" s="9"/>
      <c r="K14" s="11" t="s">
        <v>64</v>
      </c>
      <c r="L14" s="10" t="s">
        <v>68</v>
      </c>
      <c r="M14" s="12" t="s">
        <v>219</v>
      </c>
    </row>
    <row r="15">
      <c r="A15" s="3" t="s">
        <v>220</v>
      </c>
      <c r="B15" s="3" t="s">
        <v>27</v>
      </c>
      <c r="C15" s="3" t="s">
        <v>222</v>
      </c>
      <c r="D15" s="3" t="s">
        <v>223</v>
      </c>
      <c r="E15" s="3" t="s">
        <v>226</v>
      </c>
      <c r="F15" s="6" t="s">
        <v>227</v>
      </c>
      <c r="G15" s="3" t="s">
        <v>26</v>
      </c>
      <c r="H15" s="3" t="s">
        <v>228</v>
      </c>
      <c r="I15" s="3"/>
      <c r="J15" s="9"/>
      <c r="K15" s="11" t="s">
        <v>64</v>
      </c>
      <c r="L15" s="10" t="s">
        <v>68</v>
      </c>
      <c r="M15" s="12" t="s">
        <v>230</v>
      </c>
    </row>
    <row r="16">
      <c r="A16" s="3" t="s">
        <v>232</v>
      </c>
      <c r="B16" s="3" t="s">
        <v>27</v>
      </c>
      <c r="C16" s="3" t="s">
        <v>234</v>
      </c>
      <c r="D16" s="3" t="s">
        <v>236</v>
      </c>
      <c r="E16" s="3" t="s">
        <v>238</v>
      </c>
      <c r="F16" s="6" t="s">
        <v>240</v>
      </c>
      <c r="G16" s="3" t="s">
        <v>20</v>
      </c>
      <c r="H16" s="3" t="s">
        <v>241</v>
      </c>
      <c r="I16" s="3"/>
      <c r="J16" s="9"/>
      <c r="K16" s="11" t="s">
        <v>64</v>
      </c>
      <c r="L16" s="10" t="s">
        <v>68</v>
      </c>
      <c r="M16" s="12" t="s">
        <v>245</v>
      </c>
    </row>
    <row r="17">
      <c r="A17" s="3" t="s">
        <v>247</v>
      </c>
      <c r="B17" s="3" t="s">
        <v>27</v>
      </c>
      <c r="C17" s="3" t="s">
        <v>249</v>
      </c>
      <c r="D17" s="3" t="s">
        <v>250</v>
      </c>
      <c r="E17" s="3" t="s">
        <v>251</v>
      </c>
      <c r="F17" s="6" t="s">
        <v>253</v>
      </c>
      <c r="G17" s="3" t="s">
        <v>26</v>
      </c>
      <c r="H17" s="3" t="s">
        <v>256</v>
      </c>
      <c r="I17" s="3" t="s">
        <v>196</v>
      </c>
      <c r="J17" s="9"/>
      <c r="K17" s="11" t="s">
        <v>64</v>
      </c>
      <c r="L17" s="10" t="s">
        <v>68</v>
      </c>
      <c r="M17" s="12" t="s">
        <v>258</v>
      </c>
    </row>
    <row r="18">
      <c r="A18" s="3" t="s">
        <v>259</v>
      </c>
      <c r="B18" s="3" t="s">
        <v>27</v>
      </c>
      <c r="C18" s="3" t="s">
        <v>260</v>
      </c>
      <c r="D18" s="3" t="s">
        <v>262</v>
      </c>
      <c r="E18" s="3" t="s">
        <v>264</v>
      </c>
      <c r="F18" s="6" t="s">
        <v>266</v>
      </c>
      <c r="G18" s="3" t="s">
        <v>26</v>
      </c>
      <c r="H18" s="3" t="s">
        <v>267</v>
      </c>
      <c r="I18" s="3"/>
      <c r="J18" s="9"/>
      <c r="K18" s="11" t="s">
        <v>64</v>
      </c>
      <c r="L18" s="10" t="s">
        <v>68</v>
      </c>
      <c r="M18" s="12" t="s">
        <v>269</v>
      </c>
    </row>
    <row r="19">
      <c r="A19" s="3" t="s">
        <v>271</v>
      </c>
      <c r="B19" s="3" t="s">
        <v>27</v>
      </c>
      <c r="C19" s="3" t="s">
        <v>273</v>
      </c>
      <c r="D19" s="3" t="s">
        <v>275</v>
      </c>
      <c r="E19" s="3" t="s">
        <v>215</v>
      </c>
      <c r="F19" s="6" t="s">
        <v>278</v>
      </c>
      <c r="G19" s="3" t="s">
        <v>23</v>
      </c>
      <c r="H19" s="3" t="s">
        <v>58</v>
      </c>
      <c r="I19" s="3"/>
      <c r="J19" s="9"/>
      <c r="K19" s="11" t="s">
        <v>64</v>
      </c>
      <c r="L19" s="10" t="s">
        <v>68</v>
      </c>
      <c r="M19" s="12" t="s">
        <v>219</v>
      </c>
    </row>
    <row r="20">
      <c r="A20" s="3" t="s">
        <v>283</v>
      </c>
      <c r="B20" s="3" t="s">
        <v>212</v>
      </c>
      <c r="C20" s="3" t="s">
        <v>285</v>
      </c>
      <c r="D20" s="3" t="s">
        <v>286</v>
      </c>
      <c r="E20" s="3" t="s">
        <v>287</v>
      </c>
      <c r="F20" s="6" t="s">
        <v>289</v>
      </c>
      <c r="G20" s="3" t="s">
        <v>20</v>
      </c>
      <c r="H20" s="3" t="s">
        <v>100</v>
      </c>
      <c r="I20" s="3"/>
      <c r="J20" s="9" t="s">
        <v>292</v>
      </c>
      <c r="K20" s="9" t="s">
        <v>86</v>
      </c>
      <c r="L20" s="14" t="s">
        <v>294</v>
      </c>
      <c r="M20" s="9" t="s">
        <v>296</v>
      </c>
    </row>
    <row r="21" ht="15.75" customHeight="1">
      <c r="A21" s="3" t="s">
        <v>299</v>
      </c>
      <c r="B21" s="3" t="s">
        <v>212</v>
      </c>
      <c r="C21" s="3" t="s">
        <v>301</v>
      </c>
      <c r="D21" s="3" t="s">
        <v>302</v>
      </c>
      <c r="E21" s="3" t="s">
        <v>304</v>
      </c>
      <c r="F21" s="6" t="s">
        <v>305</v>
      </c>
      <c r="G21" s="3" t="s">
        <v>20</v>
      </c>
      <c r="H21" s="3" t="s">
        <v>100</v>
      </c>
      <c r="I21" s="3"/>
      <c r="J21" s="9" t="s">
        <v>306</v>
      </c>
      <c r="K21" s="9" t="s">
        <v>86</v>
      </c>
      <c r="L21" s="14" t="s">
        <v>294</v>
      </c>
      <c r="M21" s="9" t="s">
        <v>310</v>
      </c>
    </row>
    <row r="22" ht="15.75" customHeight="1">
      <c r="A22" s="3" t="s">
        <v>311</v>
      </c>
      <c r="B22" s="3" t="s">
        <v>212</v>
      </c>
      <c r="C22" s="3" t="s">
        <v>312</v>
      </c>
      <c r="D22" s="3" t="s">
        <v>313</v>
      </c>
      <c r="E22" s="3" t="s">
        <v>215</v>
      </c>
      <c r="F22" s="6" t="s">
        <v>314</v>
      </c>
      <c r="G22" s="3" t="s">
        <v>23</v>
      </c>
      <c r="H22" s="3" t="s">
        <v>58</v>
      </c>
      <c r="I22" s="3"/>
      <c r="J22" s="9"/>
      <c r="K22" s="9" t="s">
        <v>64</v>
      </c>
      <c r="L22" s="14" t="s">
        <v>294</v>
      </c>
      <c r="M22" s="9" t="s">
        <v>317</v>
      </c>
    </row>
    <row r="23" ht="15.75" customHeight="1">
      <c r="A23" s="3" t="s">
        <v>318</v>
      </c>
      <c r="B23" s="3" t="s">
        <v>212</v>
      </c>
      <c r="C23" s="3" t="s">
        <v>320</v>
      </c>
      <c r="D23" s="3" t="s">
        <v>322</v>
      </c>
      <c r="E23" s="3" t="s">
        <v>323</v>
      </c>
      <c r="F23" s="6" t="s">
        <v>324</v>
      </c>
      <c r="G23" s="3" t="s">
        <v>20</v>
      </c>
      <c r="H23" s="3" t="s">
        <v>100</v>
      </c>
      <c r="I23" s="3"/>
      <c r="J23" s="9" t="s">
        <v>326</v>
      </c>
      <c r="K23" s="9" t="s">
        <v>86</v>
      </c>
      <c r="L23" s="14" t="s">
        <v>294</v>
      </c>
      <c r="M23" s="9" t="s">
        <v>328</v>
      </c>
    </row>
    <row r="24" ht="15.75" customHeight="1">
      <c r="A24" s="3" t="s">
        <v>329</v>
      </c>
      <c r="B24" s="3" t="s">
        <v>212</v>
      </c>
      <c r="C24" s="3" t="s">
        <v>332</v>
      </c>
      <c r="D24" s="3" t="s">
        <v>333</v>
      </c>
      <c r="E24" s="3" t="s">
        <v>334</v>
      </c>
      <c r="F24" s="6" t="s">
        <v>335</v>
      </c>
      <c r="G24" s="3" t="s">
        <v>26</v>
      </c>
      <c r="H24" s="3" t="s">
        <v>83</v>
      </c>
      <c r="I24" s="3"/>
      <c r="J24" s="9"/>
      <c r="K24" s="9" t="s">
        <v>64</v>
      </c>
      <c r="L24" s="14" t="s">
        <v>294</v>
      </c>
      <c r="M24" s="9" t="s">
        <v>337</v>
      </c>
    </row>
    <row r="25" ht="15.75" customHeight="1">
      <c r="A25" s="3" t="s">
        <v>338</v>
      </c>
      <c r="B25" s="3" t="s">
        <v>212</v>
      </c>
      <c r="C25" s="3" t="s">
        <v>340</v>
      </c>
      <c r="D25" s="3" t="s">
        <v>341</v>
      </c>
      <c r="E25" s="3" t="s">
        <v>215</v>
      </c>
      <c r="F25" s="6" t="s">
        <v>344</v>
      </c>
      <c r="G25" s="3" t="s">
        <v>23</v>
      </c>
      <c r="H25" s="3" t="s">
        <v>58</v>
      </c>
      <c r="I25" s="3"/>
      <c r="J25" s="9"/>
      <c r="K25" s="9" t="s">
        <v>64</v>
      </c>
      <c r="L25" s="14" t="s">
        <v>294</v>
      </c>
      <c r="M25" s="9" t="s">
        <v>347</v>
      </c>
    </row>
    <row r="26" ht="15.75" customHeight="1">
      <c r="A26" s="3" t="s">
        <v>348</v>
      </c>
      <c r="B26" s="3" t="s">
        <v>212</v>
      </c>
      <c r="C26" s="3" t="s">
        <v>350</v>
      </c>
      <c r="D26" s="3" t="s">
        <v>351</v>
      </c>
      <c r="E26" s="3" t="s">
        <v>353</v>
      </c>
      <c r="F26" s="6" t="s">
        <v>355</v>
      </c>
      <c r="G26" s="3" t="s">
        <v>23</v>
      </c>
      <c r="H26" s="3" t="s">
        <v>58</v>
      </c>
      <c r="I26" s="3"/>
      <c r="J26" s="9"/>
      <c r="K26" s="9" t="s">
        <v>64</v>
      </c>
      <c r="L26" s="14" t="s">
        <v>294</v>
      </c>
      <c r="M26" s="9" t="s">
        <v>359</v>
      </c>
    </row>
    <row r="27" ht="15.75" customHeight="1">
      <c r="A27" s="3" t="s">
        <v>360</v>
      </c>
      <c r="B27" s="3" t="s">
        <v>212</v>
      </c>
      <c r="C27" s="3" t="s">
        <v>361</v>
      </c>
      <c r="D27" s="3" t="s">
        <v>362</v>
      </c>
      <c r="E27" s="3" t="s">
        <v>364</v>
      </c>
      <c r="F27" s="6" t="s">
        <v>366</v>
      </c>
      <c r="G27" s="3" t="s">
        <v>20</v>
      </c>
      <c r="H27" s="3" t="s">
        <v>100</v>
      </c>
      <c r="I27" s="3"/>
      <c r="J27" s="9"/>
      <c r="K27" s="9" t="s">
        <v>64</v>
      </c>
      <c r="L27" s="14" t="s">
        <v>294</v>
      </c>
      <c r="M27" s="9" t="s">
        <v>369</v>
      </c>
    </row>
    <row r="28" ht="15.75" customHeight="1">
      <c r="A28" s="3" t="s">
        <v>370</v>
      </c>
      <c r="B28" s="3" t="s">
        <v>212</v>
      </c>
      <c r="C28" s="3" t="s">
        <v>374</v>
      </c>
      <c r="D28" s="3" t="s">
        <v>375</v>
      </c>
      <c r="E28" s="3" t="s">
        <v>377</v>
      </c>
      <c r="F28" s="6" t="s">
        <v>378</v>
      </c>
      <c r="G28" s="3" t="s">
        <v>26</v>
      </c>
      <c r="H28" s="3" t="s">
        <v>83</v>
      </c>
      <c r="I28" s="3"/>
      <c r="J28" s="9"/>
      <c r="K28" s="9" t="s">
        <v>64</v>
      </c>
      <c r="L28" s="14" t="s">
        <v>294</v>
      </c>
      <c r="M28" s="9" t="s">
        <v>383</v>
      </c>
    </row>
    <row r="29" ht="15.75" customHeight="1">
      <c r="A29" s="3" t="s">
        <v>384</v>
      </c>
      <c r="B29" s="3" t="s">
        <v>212</v>
      </c>
      <c r="C29" s="3" t="s">
        <v>386</v>
      </c>
      <c r="D29" s="3" t="s">
        <v>387</v>
      </c>
      <c r="E29" s="3" t="s">
        <v>215</v>
      </c>
      <c r="F29" s="6" t="s">
        <v>278</v>
      </c>
      <c r="G29" s="3" t="s">
        <v>23</v>
      </c>
      <c r="H29" s="3" t="s">
        <v>58</v>
      </c>
      <c r="I29" s="3"/>
      <c r="J29" s="9"/>
      <c r="K29" s="9" t="s">
        <v>64</v>
      </c>
      <c r="L29" s="14" t="s">
        <v>294</v>
      </c>
      <c r="M29" s="9" t="s">
        <v>347</v>
      </c>
    </row>
    <row r="30" ht="15.75" customHeight="1">
      <c r="A30" s="3" t="s">
        <v>392</v>
      </c>
      <c r="B30" s="3" t="s">
        <v>212</v>
      </c>
      <c r="C30" s="3" t="s">
        <v>394</v>
      </c>
      <c r="D30" s="3" t="s">
        <v>396</v>
      </c>
      <c r="E30" s="3" t="s">
        <v>397</v>
      </c>
      <c r="F30" s="6" t="s">
        <v>399</v>
      </c>
      <c r="G30" s="3" t="s">
        <v>20</v>
      </c>
      <c r="H30" s="3" t="s">
        <v>100</v>
      </c>
      <c r="I30" s="3"/>
      <c r="J30" s="9" t="s">
        <v>401</v>
      </c>
      <c r="K30" s="9" t="s">
        <v>86</v>
      </c>
      <c r="L30" s="14" t="s">
        <v>294</v>
      </c>
      <c r="M30" s="9" t="s">
        <v>403</v>
      </c>
    </row>
    <row r="31" ht="15.75" customHeight="1">
      <c r="A31" s="3" t="s">
        <v>404</v>
      </c>
      <c r="B31" s="3" t="s">
        <v>212</v>
      </c>
      <c r="C31" s="3" t="s">
        <v>406</v>
      </c>
      <c r="D31" s="3" t="s">
        <v>407</v>
      </c>
      <c r="E31" s="3" t="s">
        <v>408</v>
      </c>
      <c r="F31" s="6" t="s">
        <v>410</v>
      </c>
      <c r="G31" s="3" t="s">
        <v>20</v>
      </c>
      <c r="H31" s="3" t="s">
        <v>100</v>
      </c>
      <c r="I31" s="3"/>
      <c r="J31" s="9"/>
      <c r="K31" s="9" t="s">
        <v>64</v>
      </c>
      <c r="L31" s="14" t="s">
        <v>294</v>
      </c>
      <c r="M31" s="9" t="s">
        <v>413</v>
      </c>
    </row>
    <row r="32" ht="15.75" customHeight="1">
      <c r="A32" s="3" t="s">
        <v>414</v>
      </c>
      <c r="B32" s="3" t="s">
        <v>212</v>
      </c>
      <c r="C32" s="3" t="s">
        <v>416</v>
      </c>
      <c r="D32" s="3" t="s">
        <v>417</v>
      </c>
      <c r="E32" s="3" t="s">
        <v>215</v>
      </c>
      <c r="F32" s="6" t="s">
        <v>420</v>
      </c>
      <c r="G32" s="3" t="s">
        <v>23</v>
      </c>
      <c r="H32" s="3" t="s">
        <v>58</v>
      </c>
      <c r="I32" s="3"/>
      <c r="J32" s="9"/>
      <c r="K32" s="9" t="s">
        <v>64</v>
      </c>
      <c r="L32" s="14" t="s">
        <v>294</v>
      </c>
      <c r="M32" s="9" t="s">
        <v>347</v>
      </c>
    </row>
    <row r="33" ht="15.75" customHeight="1">
      <c r="A33" s="3" t="s">
        <v>422</v>
      </c>
      <c r="B33" s="3" t="s">
        <v>212</v>
      </c>
      <c r="C33" s="3" t="s">
        <v>423</v>
      </c>
      <c r="D33" s="3" t="s">
        <v>424</v>
      </c>
      <c r="E33" s="3" t="s">
        <v>425</v>
      </c>
      <c r="F33" s="6" t="s">
        <v>427</v>
      </c>
      <c r="G33" s="3" t="s">
        <v>26</v>
      </c>
      <c r="H33" s="3" t="s">
        <v>83</v>
      </c>
      <c r="I33" s="3"/>
      <c r="J33" s="9"/>
      <c r="K33" s="9" t="s">
        <v>64</v>
      </c>
      <c r="L33" s="14" t="s">
        <v>294</v>
      </c>
      <c r="M33" s="9" t="s">
        <v>430</v>
      </c>
    </row>
    <row r="34" ht="15.75" customHeight="1">
      <c r="A34" s="3" t="s">
        <v>432</v>
      </c>
      <c r="B34" s="3" t="s">
        <v>212</v>
      </c>
      <c r="C34" s="3" t="s">
        <v>433</v>
      </c>
      <c r="D34" s="3" t="s">
        <v>434</v>
      </c>
      <c r="E34" s="3" t="s">
        <v>215</v>
      </c>
      <c r="F34" s="6" t="s">
        <v>344</v>
      </c>
      <c r="G34" s="3" t="s">
        <v>23</v>
      </c>
      <c r="H34" s="3" t="s">
        <v>58</v>
      </c>
      <c r="I34" s="3"/>
      <c r="J34" s="9"/>
      <c r="K34" s="9" t="s">
        <v>64</v>
      </c>
      <c r="L34" s="14" t="s">
        <v>294</v>
      </c>
      <c r="M34" s="9" t="s">
        <v>347</v>
      </c>
    </row>
    <row r="35" ht="15.75" customHeight="1">
      <c r="A35" s="3" t="s">
        <v>440</v>
      </c>
      <c r="B35" s="3" t="s">
        <v>212</v>
      </c>
      <c r="C35" s="3" t="s">
        <v>442</v>
      </c>
      <c r="D35" s="3" t="s">
        <v>443</v>
      </c>
      <c r="E35" s="3" t="s">
        <v>444</v>
      </c>
      <c r="F35" s="6" t="s">
        <v>447</v>
      </c>
      <c r="G35" s="3" t="s">
        <v>20</v>
      </c>
      <c r="H35" s="3" t="s">
        <v>100</v>
      </c>
      <c r="I35" s="3"/>
      <c r="J35" s="9"/>
      <c r="K35" s="9" t="s">
        <v>64</v>
      </c>
      <c r="L35" s="14" t="s">
        <v>294</v>
      </c>
      <c r="M35" s="9" t="s">
        <v>449</v>
      </c>
    </row>
    <row r="36" ht="15.75" customHeight="1">
      <c r="A36" s="3" t="s">
        <v>450</v>
      </c>
      <c r="B36" s="3" t="s">
        <v>212</v>
      </c>
      <c r="C36" s="3" t="s">
        <v>452</v>
      </c>
      <c r="D36" s="3" t="s">
        <v>453</v>
      </c>
      <c r="E36" s="3" t="s">
        <v>215</v>
      </c>
      <c r="F36" s="6" t="s">
        <v>278</v>
      </c>
      <c r="G36" s="3" t="s">
        <v>23</v>
      </c>
      <c r="H36" s="3" t="s">
        <v>58</v>
      </c>
      <c r="I36" s="3"/>
      <c r="J36" s="9"/>
      <c r="K36" s="9" t="s">
        <v>64</v>
      </c>
      <c r="L36" s="14" t="s">
        <v>294</v>
      </c>
      <c r="M36" s="9" t="s">
        <v>347</v>
      </c>
    </row>
    <row r="37" ht="15.75" customHeight="1">
      <c r="A37" s="3" t="s">
        <v>459</v>
      </c>
      <c r="B37" s="3" t="s">
        <v>212</v>
      </c>
      <c r="C37" s="3" t="s">
        <v>460</v>
      </c>
      <c r="D37" s="3" t="s">
        <v>461</v>
      </c>
      <c r="E37" s="3" t="s">
        <v>215</v>
      </c>
      <c r="F37" s="6" t="s">
        <v>420</v>
      </c>
      <c r="G37" s="3" t="s">
        <v>23</v>
      </c>
      <c r="H37" s="3" t="s">
        <v>58</v>
      </c>
      <c r="I37" s="3"/>
      <c r="J37" s="9"/>
      <c r="K37" s="9" t="s">
        <v>64</v>
      </c>
      <c r="L37" s="14" t="s">
        <v>294</v>
      </c>
      <c r="M37" s="9" t="s">
        <v>347</v>
      </c>
    </row>
    <row r="38" ht="15.75" customHeight="1">
      <c r="A38" s="3" t="s">
        <v>468</v>
      </c>
      <c r="B38" s="3" t="s">
        <v>212</v>
      </c>
      <c r="C38" s="3" t="s">
        <v>470</v>
      </c>
      <c r="D38" s="3" t="s">
        <v>472</v>
      </c>
      <c r="E38" s="3" t="s">
        <v>474</v>
      </c>
      <c r="F38" s="6" t="s">
        <v>475</v>
      </c>
      <c r="G38" s="3" t="s">
        <v>26</v>
      </c>
      <c r="H38" s="3" t="s">
        <v>83</v>
      </c>
      <c r="I38" s="3"/>
      <c r="J38" s="9" t="s">
        <v>477</v>
      </c>
      <c r="K38" s="9" t="s">
        <v>86</v>
      </c>
      <c r="L38" s="14" t="s">
        <v>294</v>
      </c>
      <c r="M38" s="9" t="s">
        <v>480</v>
      </c>
    </row>
    <row r="39" ht="15.75" customHeight="1">
      <c r="A39" s="3" t="s">
        <v>482</v>
      </c>
      <c r="B39" s="3" t="s">
        <v>212</v>
      </c>
      <c r="C39" s="3" t="s">
        <v>483</v>
      </c>
      <c r="D39" s="3" t="s">
        <v>484</v>
      </c>
      <c r="E39" s="3" t="s">
        <v>485</v>
      </c>
      <c r="F39" s="6" t="s">
        <v>486</v>
      </c>
      <c r="G39" s="3" t="s">
        <v>26</v>
      </c>
      <c r="H39" s="3" t="s">
        <v>83</v>
      </c>
      <c r="I39" s="3"/>
      <c r="J39" s="9" t="s">
        <v>488</v>
      </c>
      <c r="K39" s="9" t="s">
        <v>489</v>
      </c>
      <c r="L39" s="14" t="s">
        <v>294</v>
      </c>
      <c r="M39" s="9" t="s">
        <v>491</v>
      </c>
    </row>
    <row r="40" ht="15.75" customHeight="1">
      <c r="A40" s="3" t="s">
        <v>492</v>
      </c>
      <c r="B40" s="3" t="s">
        <v>212</v>
      </c>
      <c r="C40" s="3" t="s">
        <v>495</v>
      </c>
      <c r="D40" s="3" t="s">
        <v>496</v>
      </c>
      <c r="E40" s="3" t="s">
        <v>498</v>
      </c>
      <c r="F40" s="6" t="s">
        <v>500</v>
      </c>
      <c r="G40" s="3" t="s">
        <v>26</v>
      </c>
      <c r="H40" s="3" t="s">
        <v>83</v>
      </c>
      <c r="I40" s="3"/>
      <c r="J40" s="9" t="s">
        <v>501</v>
      </c>
      <c r="K40" s="9" t="s">
        <v>86</v>
      </c>
      <c r="L40" s="14" t="s">
        <v>294</v>
      </c>
      <c r="M40" s="9" t="s">
        <v>505</v>
      </c>
    </row>
    <row r="41" ht="15.75" customHeight="1">
      <c r="A41" s="3" t="s">
        <v>506</v>
      </c>
      <c r="B41" s="3" t="s">
        <v>212</v>
      </c>
      <c r="C41" s="3" t="s">
        <v>507</v>
      </c>
      <c r="D41" s="3" t="s">
        <v>508</v>
      </c>
      <c r="E41" s="3" t="s">
        <v>509</v>
      </c>
      <c r="F41" s="6" t="s">
        <v>510</v>
      </c>
      <c r="G41" s="3" t="s">
        <v>26</v>
      </c>
      <c r="H41" s="3" t="s">
        <v>83</v>
      </c>
      <c r="I41" s="3"/>
      <c r="J41" s="9" t="s">
        <v>512</v>
      </c>
      <c r="K41" s="9" t="s">
        <v>86</v>
      </c>
      <c r="L41" s="14" t="s">
        <v>294</v>
      </c>
      <c r="M41" s="9" t="s">
        <v>516</v>
      </c>
    </row>
    <row r="42" ht="15.75" customHeight="1">
      <c r="A42" s="3" t="s">
        <v>517</v>
      </c>
      <c r="B42" s="3" t="s">
        <v>212</v>
      </c>
      <c r="C42" s="3" t="s">
        <v>518</v>
      </c>
      <c r="D42" s="3" t="s">
        <v>519</v>
      </c>
      <c r="E42" s="3" t="s">
        <v>215</v>
      </c>
      <c r="F42" s="6" t="s">
        <v>278</v>
      </c>
      <c r="G42" s="3" t="s">
        <v>23</v>
      </c>
      <c r="H42" s="3" t="s">
        <v>58</v>
      </c>
      <c r="I42" s="3"/>
      <c r="J42" s="9"/>
      <c r="K42" s="9" t="s">
        <v>64</v>
      </c>
      <c r="L42" s="14" t="s">
        <v>294</v>
      </c>
      <c r="M42" s="9" t="s">
        <v>347</v>
      </c>
    </row>
    <row r="43" ht="15.75" customHeight="1">
      <c r="A43" s="3" t="s">
        <v>524</v>
      </c>
      <c r="B43" s="3" t="s">
        <v>212</v>
      </c>
      <c r="C43" s="3" t="s">
        <v>527</v>
      </c>
      <c r="D43" s="3" t="s">
        <v>528</v>
      </c>
      <c r="E43" s="3" t="s">
        <v>529</v>
      </c>
      <c r="F43" s="6" t="s">
        <v>531</v>
      </c>
      <c r="G43" s="3" t="s">
        <v>26</v>
      </c>
      <c r="H43" s="3" t="s">
        <v>83</v>
      </c>
      <c r="I43" s="3"/>
      <c r="J43" s="9" t="s">
        <v>535</v>
      </c>
      <c r="K43" s="15" t="s">
        <v>489</v>
      </c>
      <c r="L43" s="10" t="s">
        <v>294</v>
      </c>
      <c r="M43" s="9" t="s">
        <v>543</v>
      </c>
    </row>
    <row r="44" ht="15.75" customHeight="1">
      <c r="A44" s="3" t="s">
        <v>545</v>
      </c>
      <c r="B44" s="3" t="s">
        <v>212</v>
      </c>
      <c r="C44" s="3" t="s">
        <v>546</v>
      </c>
      <c r="D44" s="3" t="s">
        <v>547</v>
      </c>
      <c r="E44" s="3" t="s">
        <v>549</v>
      </c>
      <c r="F44" s="6" t="s">
        <v>550</v>
      </c>
      <c r="G44" s="3" t="s">
        <v>23</v>
      </c>
      <c r="H44" s="3" t="s">
        <v>58</v>
      </c>
      <c r="I44" s="3"/>
      <c r="J44" s="9"/>
      <c r="K44" s="9" t="s">
        <v>64</v>
      </c>
      <c r="L44" s="14" t="s">
        <v>294</v>
      </c>
      <c r="M44" s="9" t="s">
        <v>347</v>
      </c>
    </row>
    <row r="45" ht="15.75" customHeight="1">
      <c r="A45" s="3" t="s">
        <v>556</v>
      </c>
      <c r="B45" s="3" t="s">
        <v>212</v>
      </c>
      <c r="C45" s="3" t="s">
        <v>558</v>
      </c>
      <c r="D45" s="3" t="s">
        <v>559</v>
      </c>
      <c r="E45" s="3" t="s">
        <v>215</v>
      </c>
      <c r="F45" s="6" t="s">
        <v>278</v>
      </c>
      <c r="G45" s="3" t="s">
        <v>23</v>
      </c>
      <c r="H45" s="3" t="s">
        <v>58</v>
      </c>
      <c r="I45" s="3"/>
      <c r="J45" s="9"/>
      <c r="K45" s="9" t="s">
        <v>64</v>
      </c>
      <c r="L45" s="14" t="s">
        <v>294</v>
      </c>
      <c r="M45" s="9" t="s">
        <v>347</v>
      </c>
    </row>
    <row r="46" ht="15.75" customHeight="1">
      <c r="A46" s="3" t="s">
        <v>566</v>
      </c>
      <c r="B46" s="3" t="s">
        <v>212</v>
      </c>
      <c r="C46" s="3" t="s">
        <v>567</v>
      </c>
      <c r="D46" s="3" t="s">
        <v>568</v>
      </c>
      <c r="E46" s="3" t="s">
        <v>158</v>
      </c>
      <c r="F46" s="6" t="s">
        <v>571</v>
      </c>
      <c r="G46" s="3" t="s">
        <v>20</v>
      </c>
      <c r="H46" s="3" t="s">
        <v>100</v>
      </c>
      <c r="I46" s="3" t="s">
        <v>162</v>
      </c>
      <c r="J46" s="9"/>
      <c r="K46" s="9" t="s">
        <v>64</v>
      </c>
      <c r="L46" s="14" t="s">
        <v>294</v>
      </c>
      <c r="M46" s="9" t="s">
        <v>576</v>
      </c>
    </row>
    <row r="47" ht="15.75" customHeight="1">
      <c r="A47" s="3" t="s">
        <v>578</v>
      </c>
      <c r="B47" s="3" t="s">
        <v>212</v>
      </c>
      <c r="C47" s="3" t="s">
        <v>580</v>
      </c>
      <c r="D47" s="3" t="s">
        <v>583</v>
      </c>
      <c r="E47" s="3" t="s">
        <v>584</v>
      </c>
      <c r="F47" s="6" t="s">
        <v>585</v>
      </c>
      <c r="G47" s="3" t="s">
        <v>26</v>
      </c>
      <c r="H47" s="3" t="s">
        <v>83</v>
      </c>
      <c r="I47" s="3"/>
      <c r="J47" s="9"/>
      <c r="K47" s="9" t="s">
        <v>64</v>
      </c>
      <c r="L47" s="14" t="s">
        <v>294</v>
      </c>
      <c r="M47" s="9" t="s">
        <v>590</v>
      </c>
    </row>
    <row r="48" ht="15.75" customHeight="1">
      <c r="A48" s="3" t="s">
        <v>591</v>
      </c>
      <c r="B48" s="3" t="s">
        <v>212</v>
      </c>
      <c r="C48" s="3" t="s">
        <v>592</v>
      </c>
      <c r="D48" s="3" t="s">
        <v>593</v>
      </c>
      <c r="E48" s="3" t="s">
        <v>78</v>
      </c>
      <c r="F48" s="6" t="s">
        <v>595</v>
      </c>
      <c r="G48" s="3" t="s">
        <v>26</v>
      </c>
      <c r="H48" s="3" t="s">
        <v>83</v>
      </c>
      <c r="I48" s="3"/>
      <c r="J48" s="9"/>
      <c r="K48" s="9" t="s">
        <v>64</v>
      </c>
      <c r="L48" s="14" t="s">
        <v>294</v>
      </c>
      <c r="M48" s="9" t="s">
        <v>599</v>
      </c>
    </row>
    <row r="49" ht="15.75" customHeight="1">
      <c r="A49" s="3" t="s">
        <v>601</v>
      </c>
      <c r="B49" s="3" t="s">
        <v>212</v>
      </c>
      <c r="C49" s="3" t="s">
        <v>602</v>
      </c>
      <c r="D49" s="3" t="s">
        <v>603</v>
      </c>
      <c r="E49" s="3" t="s">
        <v>215</v>
      </c>
      <c r="F49" s="6" t="s">
        <v>344</v>
      </c>
      <c r="G49" s="3" t="s">
        <v>23</v>
      </c>
      <c r="H49" s="3" t="s">
        <v>58</v>
      </c>
      <c r="I49" s="3"/>
      <c r="J49" s="9"/>
      <c r="K49" s="9" t="s">
        <v>64</v>
      </c>
      <c r="L49" s="14" t="s">
        <v>294</v>
      </c>
      <c r="M49" s="9" t="s">
        <v>347</v>
      </c>
    </row>
    <row r="50" ht="15.75" customHeight="1">
      <c r="A50" s="3" t="s">
        <v>608</v>
      </c>
      <c r="B50" s="3" t="s">
        <v>212</v>
      </c>
      <c r="C50" s="3" t="s">
        <v>609</v>
      </c>
      <c r="D50" s="3" t="s">
        <v>611</v>
      </c>
      <c r="E50" s="3" t="s">
        <v>215</v>
      </c>
      <c r="F50" s="6" t="s">
        <v>314</v>
      </c>
      <c r="G50" s="3" t="s">
        <v>23</v>
      </c>
      <c r="H50" s="3" t="s">
        <v>58</v>
      </c>
      <c r="I50" s="3"/>
      <c r="J50" s="9"/>
      <c r="K50" s="9" t="s">
        <v>64</v>
      </c>
      <c r="L50" s="14" t="s">
        <v>294</v>
      </c>
      <c r="M50" s="9" t="s">
        <v>347</v>
      </c>
    </row>
    <row r="51" ht="15.75" customHeight="1">
      <c r="A51" s="3" t="s">
        <v>617</v>
      </c>
      <c r="B51" s="3" t="s">
        <v>212</v>
      </c>
      <c r="C51" s="3" t="s">
        <v>619</v>
      </c>
      <c r="D51" s="3" t="s">
        <v>620</v>
      </c>
      <c r="E51" s="3" t="s">
        <v>158</v>
      </c>
      <c r="F51" s="6" t="s">
        <v>623</v>
      </c>
      <c r="G51" s="3" t="s">
        <v>20</v>
      </c>
      <c r="H51" s="3" t="s">
        <v>100</v>
      </c>
      <c r="I51" s="3" t="s">
        <v>162</v>
      </c>
      <c r="J51" s="9"/>
      <c r="K51" s="9" t="s">
        <v>64</v>
      </c>
      <c r="L51" s="14" t="s">
        <v>294</v>
      </c>
      <c r="M51" s="9" t="s">
        <v>576</v>
      </c>
    </row>
    <row r="52" ht="15.75" customHeight="1">
      <c r="A52" s="3" t="s">
        <v>627</v>
      </c>
      <c r="B52" s="3" t="s">
        <v>212</v>
      </c>
      <c r="C52" s="3" t="s">
        <v>629</v>
      </c>
      <c r="D52" s="3" t="s">
        <v>630</v>
      </c>
      <c r="E52" s="3" t="s">
        <v>191</v>
      </c>
      <c r="F52" s="6" t="s">
        <v>631</v>
      </c>
      <c r="G52" s="3" t="s">
        <v>26</v>
      </c>
      <c r="H52" s="3" t="s">
        <v>83</v>
      </c>
      <c r="I52" s="3" t="s">
        <v>196</v>
      </c>
      <c r="J52" s="9"/>
      <c r="K52" s="9" t="s">
        <v>64</v>
      </c>
      <c r="L52" s="14" t="s">
        <v>294</v>
      </c>
      <c r="M52" s="9" t="s">
        <v>634</v>
      </c>
    </row>
    <row r="53" ht="15.75" customHeight="1">
      <c r="A53" s="3" t="s">
        <v>635</v>
      </c>
      <c r="B53" s="3" t="s">
        <v>212</v>
      </c>
      <c r="C53" s="3" t="s">
        <v>636</v>
      </c>
      <c r="D53" s="3" t="s">
        <v>637</v>
      </c>
      <c r="E53" s="3" t="s">
        <v>215</v>
      </c>
      <c r="F53" s="6" t="s">
        <v>314</v>
      </c>
      <c r="G53" s="3" t="s">
        <v>23</v>
      </c>
      <c r="H53" s="3" t="s">
        <v>58</v>
      </c>
      <c r="I53" s="3"/>
      <c r="J53" s="9"/>
      <c r="K53" s="9" t="s">
        <v>64</v>
      </c>
      <c r="L53" s="14" t="s">
        <v>294</v>
      </c>
      <c r="M53" s="9" t="s">
        <v>347</v>
      </c>
    </row>
    <row r="54" ht="15.75" customHeight="1">
      <c r="A54" s="3" t="s">
        <v>643</v>
      </c>
      <c r="B54" s="3" t="s">
        <v>212</v>
      </c>
      <c r="C54" s="3" t="s">
        <v>645</v>
      </c>
      <c r="D54" s="3" t="s">
        <v>646</v>
      </c>
      <c r="E54" s="3" t="s">
        <v>78</v>
      </c>
      <c r="F54" s="6" t="s">
        <v>648</v>
      </c>
      <c r="G54" s="3" t="s">
        <v>23</v>
      </c>
      <c r="H54" s="3" t="s">
        <v>58</v>
      </c>
      <c r="I54" s="3"/>
      <c r="J54" s="9"/>
      <c r="K54" s="9" t="s">
        <v>64</v>
      </c>
      <c r="L54" s="14" t="s">
        <v>294</v>
      </c>
      <c r="M54" s="9" t="s">
        <v>652</v>
      </c>
    </row>
    <row r="55" ht="15.75" customHeight="1">
      <c r="A55" s="3" t="s">
        <v>653</v>
      </c>
      <c r="B55" s="3" t="s">
        <v>212</v>
      </c>
      <c r="C55" s="3" t="s">
        <v>655</v>
      </c>
      <c r="D55" s="3" t="s">
        <v>656</v>
      </c>
      <c r="E55" s="3" t="s">
        <v>657</v>
      </c>
      <c r="F55" s="6" t="s">
        <v>659</v>
      </c>
      <c r="G55" s="3" t="s">
        <v>26</v>
      </c>
      <c r="H55" s="3" t="s">
        <v>228</v>
      </c>
      <c r="I55" s="3"/>
      <c r="J55" s="9"/>
      <c r="K55" s="9" t="s">
        <v>64</v>
      </c>
      <c r="L55" s="14" t="s">
        <v>294</v>
      </c>
      <c r="M55" s="9" t="s">
        <v>664</v>
      </c>
    </row>
    <row r="56" ht="15.75" customHeight="1">
      <c r="A56" s="3" t="s">
        <v>665</v>
      </c>
      <c r="B56" s="3" t="s">
        <v>212</v>
      </c>
      <c r="C56" s="3" t="s">
        <v>666</v>
      </c>
      <c r="D56" s="3" t="s">
        <v>667</v>
      </c>
      <c r="E56" s="3" t="s">
        <v>238</v>
      </c>
      <c r="F56" s="6" t="s">
        <v>240</v>
      </c>
      <c r="G56" s="3" t="s">
        <v>20</v>
      </c>
      <c r="H56" s="3" t="s">
        <v>241</v>
      </c>
      <c r="I56" s="3"/>
      <c r="J56" s="9"/>
      <c r="K56" s="9" t="s">
        <v>64</v>
      </c>
      <c r="L56" s="14" t="s">
        <v>294</v>
      </c>
      <c r="M56" s="9" t="s">
        <v>672</v>
      </c>
    </row>
    <row r="57" ht="15.75" customHeight="1">
      <c r="A57" s="3" t="s">
        <v>673</v>
      </c>
      <c r="B57" s="3" t="s">
        <v>212</v>
      </c>
      <c r="C57" s="3" t="s">
        <v>674</v>
      </c>
      <c r="D57" s="3" t="s">
        <v>675</v>
      </c>
      <c r="E57" s="3" t="s">
        <v>251</v>
      </c>
      <c r="F57" s="6" t="s">
        <v>677</v>
      </c>
      <c r="G57" s="3" t="s">
        <v>26</v>
      </c>
      <c r="H57" s="3" t="s">
        <v>267</v>
      </c>
      <c r="I57" s="3" t="s">
        <v>196</v>
      </c>
      <c r="J57" s="9"/>
      <c r="K57" s="9" t="s">
        <v>64</v>
      </c>
      <c r="L57" s="14" t="s">
        <v>294</v>
      </c>
      <c r="M57" s="9" t="s">
        <v>682</v>
      </c>
    </row>
    <row r="58" ht="15.75" customHeight="1">
      <c r="A58" s="3" t="s">
        <v>683</v>
      </c>
      <c r="B58" s="3" t="s">
        <v>212</v>
      </c>
      <c r="C58" s="3" t="s">
        <v>684</v>
      </c>
      <c r="D58" s="3" t="s">
        <v>685</v>
      </c>
      <c r="E58" s="3" t="s">
        <v>215</v>
      </c>
      <c r="F58" s="6" t="s">
        <v>278</v>
      </c>
      <c r="G58" s="3" t="s">
        <v>23</v>
      </c>
      <c r="H58" s="3" t="s">
        <v>58</v>
      </c>
      <c r="I58" s="3"/>
      <c r="J58" s="9"/>
      <c r="K58" s="9" t="s">
        <v>64</v>
      </c>
      <c r="L58" s="14" t="s">
        <v>294</v>
      </c>
      <c r="M58" s="9" t="s">
        <v>347</v>
      </c>
    </row>
    <row r="59" ht="15.75" customHeight="1">
      <c r="A59" s="3" t="s">
        <v>691</v>
      </c>
      <c r="B59" s="3" t="s">
        <v>445</v>
      </c>
      <c r="C59" s="3" t="s">
        <v>692</v>
      </c>
      <c r="D59" s="3" t="s">
        <v>693</v>
      </c>
      <c r="E59" s="3" t="s">
        <v>694</v>
      </c>
      <c r="F59" s="6" t="s">
        <v>695</v>
      </c>
      <c r="G59" s="3" t="s">
        <v>20</v>
      </c>
      <c r="H59" s="3" t="s">
        <v>697</v>
      </c>
      <c r="I59" s="3"/>
      <c r="J59" s="9" t="s">
        <v>699</v>
      </c>
      <c r="K59" s="9" t="s">
        <v>489</v>
      </c>
      <c r="L59" s="14" t="s">
        <v>294</v>
      </c>
      <c r="M59" s="9" t="s">
        <v>701</v>
      </c>
    </row>
    <row r="60" ht="15.75" customHeight="1">
      <c r="A60" s="3" t="s">
        <v>702</v>
      </c>
      <c r="B60" s="3" t="s">
        <v>445</v>
      </c>
      <c r="C60" s="3" t="s">
        <v>703</v>
      </c>
      <c r="D60" s="3" t="s">
        <v>705</v>
      </c>
      <c r="E60" s="3" t="s">
        <v>706</v>
      </c>
      <c r="F60" s="6" t="s">
        <v>707</v>
      </c>
      <c r="G60" s="3" t="s">
        <v>20</v>
      </c>
      <c r="H60" s="3" t="s">
        <v>697</v>
      </c>
      <c r="I60" s="3"/>
      <c r="J60" s="9" t="s">
        <v>709</v>
      </c>
      <c r="K60" s="9" t="s">
        <v>489</v>
      </c>
      <c r="L60" s="14" t="s">
        <v>294</v>
      </c>
      <c r="M60" s="9" t="s">
        <v>701</v>
      </c>
    </row>
    <row r="61" ht="15.75" customHeight="1">
      <c r="A61" s="3" t="s">
        <v>713</v>
      </c>
      <c r="B61" s="3" t="s">
        <v>445</v>
      </c>
      <c r="C61" s="3" t="s">
        <v>714</v>
      </c>
      <c r="D61" s="3" t="s">
        <v>715</v>
      </c>
      <c r="E61" s="3" t="s">
        <v>716</v>
      </c>
      <c r="F61" s="6" t="s">
        <v>718</v>
      </c>
      <c r="G61" s="3" t="s">
        <v>20</v>
      </c>
      <c r="H61" s="3" t="s">
        <v>697</v>
      </c>
      <c r="I61" s="3"/>
      <c r="J61" s="9" t="s">
        <v>719</v>
      </c>
      <c r="K61" s="9" t="s">
        <v>489</v>
      </c>
      <c r="L61" s="14" t="s">
        <v>294</v>
      </c>
      <c r="M61" s="9" t="s">
        <v>701</v>
      </c>
    </row>
    <row r="62" ht="15.75" customHeight="1">
      <c r="A62" s="3" t="s">
        <v>723</v>
      </c>
      <c r="B62" s="3" t="s">
        <v>445</v>
      </c>
      <c r="C62" s="3" t="s">
        <v>724</v>
      </c>
      <c r="D62" s="3" t="s">
        <v>725</v>
      </c>
      <c r="E62" s="3" t="s">
        <v>726</v>
      </c>
      <c r="F62" s="6" t="s">
        <v>728</v>
      </c>
      <c r="G62" s="3" t="s">
        <v>20</v>
      </c>
      <c r="H62" s="3" t="s">
        <v>697</v>
      </c>
      <c r="I62" s="3"/>
      <c r="J62" s="9" t="s">
        <v>729</v>
      </c>
      <c r="K62" s="9" t="s">
        <v>489</v>
      </c>
      <c r="L62" s="14" t="s">
        <v>294</v>
      </c>
      <c r="M62" s="9" t="s">
        <v>730</v>
      </c>
    </row>
    <row r="63" ht="15.75" customHeight="1">
      <c r="A63" s="3" t="s">
        <v>731</v>
      </c>
      <c r="B63" s="3" t="s">
        <v>445</v>
      </c>
      <c r="C63" s="3" t="s">
        <v>732</v>
      </c>
      <c r="D63" s="3" t="s">
        <v>734</v>
      </c>
      <c r="E63" s="3" t="s">
        <v>736</v>
      </c>
      <c r="F63" s="6" t="s">
        <v>738</v>
      </c>
      <c r="G63" s="3" t="s">
        <v>20</v>
      </c>
      <c r="H63" s="3" t="s">
        <v>697</v>
      </c>
      <c r="I63" s="3"/>
      <c r="J63" s="9" t="s">
        <v>739</v>
      </c>
      <c r="K63" s="9" t="s">
        <v>489</v>
      </c>
      <c r="L63" s="14" t="s">
        <v>294</v>
      </c>
      <c r="M63" s="9" t="s">
        <v>701</v>
      </c>
    </row>
    <row r="64" ht="15.75" customHeight="1">
      <c r="A64" s="3" t="s">
        <v>746</v>
      </c>
      <c r="B64" s="3" t="s">
        <v>445</v>
      </c>
      <c r="C64" s="3" t="s">
        <v>748</v>
      </c>
      <c r="D64" s="3" t="s">
        <v>749</v>
      </c>
      <c r="E64" s="3" t="s">
        <v>750</v>
      </c>
      <c r="F64" s="6" t="s">
        <v>751</v>
      </c>
      <c r="G64" s="3" t="s">
        <v>20</v>
      </c>
      <c r="H64" s="3" t="s">
        <v>697</v>
      </c>
      <c r="I64" s="3"/>
      <c r="J64" s="9" t="s">
        <v>752</v>
      </c>
      <c r="K64" s="9" t="s">
        <v>489</v>
      </c>
      <c r="L64" s="14" t="s">
        <v>294</v>
      </c>
      <c r="M64" s="9" t="s">
        <v>753</v>
      </c>
    </row>
    <row r="65" ht="15.75" customHeight="1">
      <c r="A65" s="3" t="s">
        <v>754</v>
      </c>
      <c r="B65" s="3" t="s">
        <v>445</v>
      </c>
      <c r="C65" s="3" t="s">
        <v>612</v>
      </c>
      <c r="D65" s="3" t="s">
        <v>755</v>
      </c>
      <c r="E65" s="3" t="s">
        <v>756</v>
      </c>
      <c r="F65" s="6" t="s">
        <v>757</v>
      </c>
      <c r="G65" s="3" t="s">
        <v>20</v>
      </c>
      <c r="H65" s="3" t="s">
        <v>697</v>
      </c>
      <c r="I65" s="3"/>
      <c r="J65" s="9" t="s">
        <v>758</v>
      </c>
      <c r="K65" s="9" t="s">
        <v>489</v>
      </c>
      <c r="L65" s="14" t="s">
        <v>294</v>
      </c>
      <c r="M65" s="9" t="s">
        <v>759</v>
      </c>
    </row>
    <row r="66" ht="15.75" customHeight="1">
      <c r="A66" s="3" t="s">
        <v>760</v>
      </c>
      <c r="B66" s="3" t="s">
        <v>445</v>
      </c>
      <c r="C66" s="3" t="s">
        <v>761</v>
      </c>
      <c r="D66" s="3" t="s">
        <v>762</v>
      </c>
      <c r="E66" s="3" t="s">
        <v>763</v>
      </c>
      <c r="F66" s="6" t="s">
        <v>764</v>
      </c>
      <c r="G66" s="3" t="s">
        <v>26</v>
      </c>
      <c r="H66" s="3" t="s">
        <v>83</v>
      </c>
      <c r="I66" s="3"/>
      <c r="J66" s="9"/>
      <c r="K66" s="9" t="s">
        <v>64</v>
      </c>
      <c r="L66" s="14" t="s">
        <v>294</v>
      </c>
      <c r="M66" s="9" t="s">
        <v>765</v>
      </c>
    </row>
    <row r="67" ht="15.75" customHeight="1">
      <c r="A67" s="3" t="s">
        <v>766</v>
      </c>
      <c r="B67" s="3" t="s">
        <v>445</v>
      </c>
      <c r="C67" s="3" t="s">
        <v>767</v>
      </c>
      <c r="D67" s="3" t="s">
        <v>768</v>
      </c>
      <c r="E67" s="3" t="s">
        <v>215</v>
      </c>
      <c r="F67" s="6" t="s">
        <v>314</v>
      </c>
      <c r="G67" s="3" t="s">
        <v>23</v>
      </c>
      <c r="H67" s="3" t="s">
        <v>58</v>
      </c>
      <c r="I67" s="3"/>
      <c r="J67" s="9"/>
      <c r="K67" s="9" t="s">
        <v>64</v>
      </c>
      <c r="L67" s="14" t="s">
        <v>294</v>
      </c>
      <c r="M67" s="9" t="s">
        <v>347</v>
      </c>
    </row>
    <row r="68" ht="15.75" customHeight="1">
      <c r="A68" s="3" t="s">
        <v>769</v>
      </c>
      <c r="B68" s="3" t="s">
        <v>445</v>
      </c>
      <c r="C68" s="3" t="s">
        <v>770</v>
      </c>
      <c r="D68" s="3" t="s">
        <v>771</v>
      </c>
      <c r="E68" s="3" t="s">
        <v>772</v>
      </c>
      <c r="F68" s="6" t="s">
        <v>773</v>
      </c>
      <c r="G68" s="3" t="s">
        <v>20</v>
      </c>
      <c r="H68" s="3" t="s">
        <v>100</v>
      </c>
      <c r="I68" s="3"/>
      <c r="J68" s="9" t="s">
        <v>774</v>
      </c>
      <c r="K68" s="9" t="s">
        <v>86</v>
      </c>
      <c r="L68" s="14" t="s">
        <v>294</v>
      </c>
      <c r="M68" s="9" t="s">
        <v>775</v>
      </c>
    </row>
    <row r="69" ht="15.75" customHeight="1">
      <c r="A69" s="3" t="s">
        <v>776</v>
      </c>
      <c r="B69" s="3" t="s">
        <v>445</v>
      </c>
      <c r="C69" s="3" t="s">
        <v>777</v>
      </c>
      <c r="D69" s="3" t="s">
        <v>778</v>
      </c>
      <c r="E69" s="3" t="s">
        <v>779</v>
      </c>
      <c r="F69" s="6" t="s">
        <v>780</v>
      </c>
      <c r="G69" s="3" t="s">
        <v>26</v>
      </c>
      <c r="H69" s="3" t="s">
        <v>83</v>
      </c>
      <c r="I69" s="3" t="s">
        <v>196</v>
      </c>
      <c r="J69" s="9"/>
      <c r="K69" s="9" t="s">
        <v>64</v>
      </c>
      <c r="L69" s="14" t="s">
        <v>294</v>
      </c>
      <c r="M69" s="9" t="s">
        <v>781</v>
      </c>
    </row>
    <row r="70" ht="15.75" customHeight="1">
      <c r="A70" s="3" t="s">
        <v>782</v>
      </c>
      <c r="B70" s="3" t="s">
        <v>445</v>
      </c>
      <c r="C70" s="3" t="s">
        <v>783</v>
      </c>
      <c r="D70" s="3" t="s">
        <v>784</v>
      </c>
      <c r="E70" s="3" t="s">
        <v>215</v>
      </c>
      <c r="F70" s="6" t="s">
        <v>314</v>
      </c>
      <c r="G70" s="3" t="s">
        <v>23</v>
      </c>
      <c r="H70" s="3" t="s">
        <v>58</v>
      </c>
      <c r="I70" s="3"/>
      <c r="J70" s="9"/>
      <c r="K70" s="9" t="s">
        <v>64</v>
      </c>
      <c r="L70" s="14" t="s">
        <v>294</v>
      </c>
      <c r="M70" s="9" t="s">
        <v>347</v>
      </c>
    </row>
    <row r="71" ht="15.75" customHeight="1">
      <c r="A71" s="3" t="s">
        <v>785</v>
      </c>
      <c r="B71" s="3" t="s">
        <v>445</v>
      </c>
      <c r="C71" s="3" t="s">
        <v>786</v>
      </c>
      <c r="D71" s="3" t="s">
        <v>787</v>
      </c>
      <c r="E71" s="3" t="s">
        <v>788</v>
      </c>
      <c r="F71" s="6" t="s">
        <v>789</v>
      </c>
      <c r="G71" s="3" t="s">
        <v>20</v>
      </c>
      <c r="H71" s="3" t="s">
        <v>100</v>
      </c>
      <c r="I71" s="3"/>
      <c r="J71" s="9" t="s">
        <v>790</v>
      </c>
      <c r="K71" s="9" t="s">
        <v>86</v>
      </c>
      <c r="L71" s="14" t="s">
        <v>294</v>
      </c>
      <c r="M71" s="9" t="s">
        <v>791</v>
      </c>
    </row>
    <row r="72" ht="15.75" customHeight="1">
      <c r="A72" s="3" t="s">
        <v>792</v>
      </c>
      <c r="B72" s="3" t="s">
        <v>445</v>
      </c>
      <c r="C72" s="3" t="s">
        <v>793</v>
      </c>
      <c r="D72" s="3" t="s">
        <v>794</v>
      </c>
      <c r="E72" s="3" t="s">
        <v>795</v>
      </c>
      <c r="F72" s="6" t="s">
        <v>796</v>
      </c>
      <c r="G72" s="3" t="s">
        <v>20</v>
      </c>
      <c r="H72" s="3" t="s">
        <v>100</v>
      </c>
      <c r="I72" s="3"/>
      <c r="J72" s="9" t="s">
        <v>797</v>
      </c>
      <c r="K72" s="9" t="s">
        <v>86</v>
      </c>
      <c r="L72" s="14" t="s">
        <v>294</v>
      </c>
      <c r="M72" s="9" t="s">
        <v>798</v>
      </c>
    </row>
    <row r="73" ht="15.75" customHeight="1">
      <c r="A73" s="3" t="s">
        <v>799</v>
      </c>
      <c r="B73" s="3" t="s">
        <v>445</v>
      </c>
      <c r="C73" s="3" t="s">
        <v>800</v>
      </c>
      <c r="D73" s="3" t="s">
        <v>801</v>
      </c>
      <c r="E73" s="3" t="s">
        <v>802</v>
      </c>
      <c r="F73" s="6" t="s">
        <v>803</v>
      </c>
      <c r="G73" s="3" t="s">
        <v>26</v>
      </c>
      <c r="H73" s="3" t="s">
        <v>83</v>
      </c>
      <c r="I73" s="3"/>
      <c r="J73" s="9"/>
      <c r="K73" s="9" t="s">
        <v>64</v>
      </c>
      <c r="L73" s="14" t="s">
        <v>294</v>
      </c>
      <c r="M73" s="9" t="s">
        <v>804</v>
      </c>
    </row>
    <row r="74" ht="15.75" customHeight="1">
      <c r="A74" s="3" t="s">
        <v>805</v>
      </c>
      <c r="B74" s="3" t="s">
        <v>445</v>
      </c>
      <c r="C74" s="3" t="s">
        <v>806</v>
      </c>
      <c r="D74" s="3" t="s">
        <v>807</v>
      </c>
      <c r="E74" s="3" t="s">
        <v>215</v>
      </c>
      <c r="F74" s="6" t="s">
        <v>314</v>
      </c>
      <c r="G74" s="3" t="s">
        <v>23</v>
      </c>
      <c r="H74" s="3" t="s">
        <v>58</v>
      </c>
      <c r="I74" s="3"/>
      <c r="J74" s="9"/>
      <c r="K74" s="9" t="s">
        <v>64</v>
      </c>
      <c r="L74" s="14" t="s">
        <v>294</v>
      </c>
      <c r="M74" s="9" t="s">
        <v>347</v>
      </c>
    </row>
    <row r="75" ht="15.75" customHeight="1">
      <c r="A75" s="3" t="s">
        <v>808</v>
      </c>
      <c r="B75" s="3" t="s">
        <v>445</v>
      </c>
      <c r="C75" s="3" t="s">
        <v>809</v>
      </c>
      <c r="D75" s="3" t="s">
        <v>810</v>
      </c>
      <c r="E75" s="3" t="s">
        <v>811</v>
      </c>
      <c r="F75" s="6" t="s">
        <v>812</v>
      </c>
      <c r="G75" s="3" t="s">
        <v>20</v>
      </c>
      <c r="H75" s="3" t="s">
        <v>813</v>
      </c>
      <c r="I75" s="3" t="s">
        <v>358</v>
      </c>
      <c r="J75" s="9" t="s">
        <v>814</v>
      </c>
      <c r="K75" s="9" t="s">
        <v>86</v>
      </c>
      <c r="L75" s="14" t="s">
        <v>294</v>
      </c>
      <c r="M75" s="9" t="s">
        <v>815</v>
      </c>
    </row>
    <row r="76" ht="15.75" customHeight="1">
      <c r="A76" s="3" t="s">
        <v>816</v>
      </c>
      <c r="B76" s="3" t="s">
        <v>445</v>
      </c>
      <c r="C76" s="3" t="s">
        <v>817</v>
      </c>
      <c r="D76" s="3" t="s">
        <v>818</v>
      </c>
      <c r="E76" s="3" t="s">
        <v>819</v>
      </c>
      <c r="F76" s="6" t="s">
        <v>820</v>
      </c>
      <c r="G76" s="3" t="s">
        <v>26</v>
      </c>
      <c r="H76" s="3" t="s">
        <v>83</v>
      </c>
      <c r="I76" s="3"/>
      <c r="J76" s="9"/>
      <c r="K76" s="9" t="s">
        <v>64</v>
      </c>
      <c r="L76" s="14" t="s">
        <v>294</v>
      </c>
      <c r="M76" s="9" t="s">
        <v>821</v>
      </c>
    </row>
    <row r="77" ht="15.75" customHeight="1">
      <c r="A77" s="3" t="s">
        <v>822</v>
      </c>
      <c r="B77" s="3" t="s">
        <v>445</v>
      </c>
      <c r="C77" s="3" t="s">
        <v>823</v>
      </c>
      <c r="D77" s="3" t="s">
        <v>824</v>
      </c>
      <c r="E77" s="3" t="s">
        <v>215</v>
      </c>
      <c r="F77" s="6" t="s">
        <v>217</v>
      </c>
      <c r="G77" s="3" t="s">
        <v>23</v>
      </c>
      <c r="H77" s="3" t="s">
        <v>58</v>
      </c>
      <c r="I77" s="3"/>
      <c r="J77" s="9"/>
      <c r="K77" s="9" t="s">
        <v>64</v>
      </c>
      <c r="L77" s="14" t="s">
        <v>294</v>
      </c>
      <c r="M77" s="9" t="s">
        <v>347</v>
      </c>
    </row>
    <row r="78" ht="15.75" customHeight="1">
      <c r="A78" s="3" t="s">
        <v>825</v>
      </c>
      <c r="B78" s="3" t="s">
        <v>445</v>
      </c>
      <c r="C78" s="3" t="s">
        <v>826</v>
      </c>
      <c r="D78" s="3" t="s">
        <v>827</v>
      </c>
      <c r="E78" s="3" t="s">
        <v>828</v>
      </c>
      <c r="F78" s="6" t="s">
        <v>829</v>
      </c>
      <c r="G78" s="3" t="s">
        <v>26</v>
      </c>
      <c r="H78" s="3" t="s">
        <v>83</v>
      </c>
      <c r="I78" s="3"/>
      <c r="J78" s="9"/>
      <c r="K78" s="9" t="s">
        <v>64</v>
      </c>
      <c r="L78" s="14" t="s">
        <v>294</v>
      </c>
      <c r="M78" s="9" t="s">
        <v>830</v>
      </c>
    </row>
    <row r="79" ht="15.75" customHeight="1">
      <c r="A79" s="3" t="s">
        <v>831</v>
      </c>
      <c r="B79" s="3" t="s">
        <v>445</v>
      </c>
      <c r="C79" s="3" t="s">
        <v>832</v>
      </c>
      <c r="D79" s="3" t="s">
        <v>260</v>
      </c>
      <c r="E79" s="3" t="s">
        <v>215</v>
      </c>
      <c r="F79" s="6" t="s">
        <v>217</v>
      </c>
      <c r="G79" s="3" t="s">
        <v>23</v>
      </c>
      <c r="H79" s="3" t="s">
        <v>58</v>
      </c>
      <c r="I79" s="3"/>
      <c r="J79" s="9"/>
      <c r="K79" s="9" t="s">
        <v>64</v>
      </c>
      <c r="L79" s="14" t="s">
        <v>294</v>
      </c>
      <c r="M79" s="9" t="s">
        <v>347</v>
      </c>
    </row>
    <row r="80" ht="15.75" customHeight="1">
      <c r="A80" s="3" t="s">
        <v>833</v>
      </c>
      <c r="B80" s="3" t="s">
        <v>445</v>
      </c>
      <c r="C80" s="3" t="s">
        <v>834</v>
      </c>
      <c r="D80" s="3" t="s">
        <v>835</v>
      </c>
      <c r="E80" s="3" t="s">
        <v>836</v>
      </c>
      <c r="F80" s="6" t="s">
        <v>837</v>
      </c>
      <c r="G80" s="3" t="s">
        <v>26</v>
      </c>
      <c r="H80" s="3" t="s">
        <v>83</v>
      </c>
      <c r="I80" s="3"/>
      <c r="J80" s="9"/>
      <c r="K80" s="9" t="s">
        <v>64</v>
      </c>
      <c r="L80" s="14" t="s">
        <v>294</v>
      </c>
      <c r="M80" s="9" t="s">
        <v>838</v>
      </c>
    </row>
    <row r="81" ht="15.75" customHeight="1">
      <c r="A81" s="3" t="s">
        <v>839</v>
      </c>
      <c r="B81" s="3" t="s">
        <v>445</v>
      </c>
      <c r="C81" s="3" t="s">
        <v>840</v>
      </c>
      <c r="D81" s="3" t="s">
        <v>841</v>
      </c>
      <c r="E81" s="3" t="s">
        <v>215</v>
      </c>
      <c r="F81" s="6" t="s">
        <v>217</v>
      </c>
      <c r="G81" s="3" t="s">
        <v>23</v>
      </c>
      <c r="H81" s="3" t="s">
        <v>58</v>
      </c>
      <c r="I81" s="3"/>
      <c r="J81" s="9"/>
      <c r="K81" s="9" t="s">
        <v>64</v>
      </c>
      <c r="L81" s="14" t="s">
        <v>294</v>
      </c>
      <c r="M81" s="9" t="s">
        <v>347</v>
      </c>
    </row>
    <row r="82" ht="15.75" customHeight="1">
      <c r="A82" s="3" t="s">
        <v>842</v>
      </c>
      <c r="B82" s="3" t="s">
        <v>445</v>
      </c>
      <c r="C82" s="3" t="s">
        <v>843</v>
      </c>
      <c r="D82" s="3" t="s">
        <v>844</v>
      </c>
      <c r="E82" s="3" t="s">
        <v>845</v>
      </c>
      <c r="F82" s="6" t="s">
        <v>846</v>
      </c>
      <c r="G82" s="3" t="s">
        <v>26</v>
      </c>
      <c r="H82" s="3" t="s">
        <v>83</v>
      </c>
      <c r="I82" s="3"/>
      <c r="J82" s="9"/>
      <c r="K82" s="9" t="s">
        <v>64</v>
      </c>
      <c r="L82" s="14" t="s">
        <v>294</v>
      </c>
      <c r="M82" s="9" t="s">
        <v>847</v>
      </c>
    </row>
    <row r="83" ht="15.75" customHeight="1">
      <c r="A83" s="3" t="s">
        <v>848</v>
      </c>
      <c r="B83" s="3" t="s">
        <v>445</v>
      </c>
      <c r="C83" s="3" t="s">
        <v>849</v>
      </c>
      <c r="D83" s="3" t="s">
        <v>850</v>
      </c>
      <c r="E83" s="3" t="s">
        <v>215</v>
      </c>
      <c r="F83" s="6" t="s">
        <v>314</v>
      </c>
      <c r="G83" s="3" t="s">
        <v>23</v>
      </c>
      <c r="H83" s="3" t="s">
        <v>58</v>
      </c>
      <c r="I83" s="3"/>
      <c r="J83" s="9"/>
      <c r="K83" s="9" t="s">
        <v>64</v>
      </c>
      <c r="L83" s="14" t="s">
        <v>294</v>
      </c>
      <c r="M83" s="9" t="s">
        <v>347</v>
      </c>
    </row>
    <row r="84" ht="15.75" customHeight="1">
      <c r="A84" s="3" t="s">
        <v>851</v>
      </c>
      <c r="B84" s="3" t="s">
        <v>445</v>
      </c>
      <c r="C84" s="3" t="s">
        <v>852</v>
      </c>
      <c r="D84" s="3" t="s">
        <v>853</v>
      </c>
      <c r="E84" s="3" t="s">
        <v>854</v>
      </c>
      <c r="F84" s="6" t="s">
        <v>855</v>
      </c>
      <c r="G84" s="3" t="s">
        <v>20</v>
      </c>
      <c r="H84" s="3" t="s">
        <v>100</v>
      </c>
      <c r="I84" s="3" t="s">
        <v>358</v>
      </c>
      <c r="J84" s="9" t="s">
        <v>856</v>
      </c>
      <c r="K84" s="9" t="s">
        <v>86</v>
      </c>
      <c r="L84" s="14" t="s">
        <v>294</v>
      </c>
      <c r="M84" s="9" t="s">
        <v>857</v>
      </c>
    </row>
    <row r="85" ht="15.75" customHeight="1">
      <c r="A85" s="3" t="s">
        <v>858</v>
      </c>
      <c r="B85" s="3" t="s">
        <v>445</v>
      </c>
      <c r="C85" s="3" t="s">
        <v>859</v>
      </c>
      <c r="D85" s="3" t="s">
        <v>860</v>
      </c>
      <c r="E85" s="3" t="s">
        <v>861</v>
      </c>
      <c r="F85" s="6" t="s">
        <v>862</v>
      </c>
      <c r="G85" s="3" t="s">
        <v>20</v>
      </c>
      <c r="H85" s="3" t="s">
        <v>100</v>
      </c>
      <c r="I85" s="3"/>
      <c r="J85" s="9" t="s">
        <v>863</v>
      </c>
      <c r="K85" s="9" t="s">
        <v>86</v>
      </c>
      <c r="L85" s="14" t="s">
        <v>294</v>
      </c>
      <c r="M85" s="9" t="s">
        <v>864</v>
      </c>
    </row>
    <row r="86" ht="15.75" customHeight="1">
      <c r="A86" s="3" t="s">
        <v>865</v>
      </c>
      <c r="B86" s="3" t="s">
        <v>445</v>
      </c>
      <c r="C86" s="3" t="s">
        <v>866</v>
      </c>
      <c r="D86" s="3" t="s">
        <v>867</v>
      </c>
      <c r="E86" s="3" t="s">
        <v>868</v>
      </c>
      <c r="F86" s="6" t="s">
        <v>869</v>
      </c>
      <c r="G86" s="3" t="s">
        <v>20</v>
      </c>
      <c r="H86" s="3" t="s">
        <v>100</v>
      </c>
      <c r="I86" s="3"/>
      <c r="J86" s="9" t="s">
        <v>870</v>
      </c>
      <c r="K86" s="9" t="s">
        <v>86</v>
      </c>
      <c r="L86" s="14" t="s">
        <v>294</v>
      </c>
      <c r="M86" s="9" t="s">
        <v>871</v>
      </c>
    </row>
    <row r="87" ht="15.75" customHeight="1">
      <c r="A87" s="3" t="s">
        <v>872</v>
      </c>
      <c r="B87" s="3" t="s">
        <v>445</v>
      </c>
      <c r="C87" s="3" t="s">
        <v>873</v>
      </c>
      <c r="D87" s="3" t="s">
        <v>874</v>
      </c>
      <c r="E87" s="3" t="s">
        <v>875</v>
      </c>
      <c r="F87" s="6" t="s">
        <v>876</v>
      </c>
      <c r="G87" s="3" t="s">
        <v>20</v>
      </c>
      <c r="H87" s="3" t="s">
        <v>100</v>
      </c>
      <c r="I87" s="3"/>
      <c r="J87" s="9" t="s">
        <v>877</v>
      </c>
      <c r="K87" s="9" t="s">
        <v>86</v>
      </c>
      <c r="L87" s="14" t="s">
        <v>294</v>
      </c>
      <c r="M87" s="9" t="s">
        <v>878</v>
      </c>
    </row>
    <row r="88" ht="15.75" customHeight="1">
      <c r="A88" s="3" t="s">
        <v>879</v>
      </c>
      <c r="B88" s="3" t="s">
        <v>445</v>
      </c>
      <c r="C88" s="3" t="s">
        <v>880</v>
      </c>
      <c r="D88" s="3" t="s">
        <v>881</v>
      </c>
      <c r="E88" s="3" t="s">
        <v>882</v>
      </c>
      <c r="F88" s="6" t="s">
        <v>883</v>
      </c>
      <c r="G88" s="3" t="s">
        <v>20</v>
      </c>
      <c r="H88" s="3" t="s">
        <v>100</v>
      </c>
      <c r="I88" s="3" t="s">
        <v>358</v>
      </c>
      <c r="J88" s="9" t="s">
        <v>884</v>
      </c>
      <c r="K88" s="9" t="s">
        <v>86</v>
      </c>
      <c r="L88" s="14" t="s">
        <v>294</v>
      </c>
      <c r="M88" s="9" t="s">
        <v>885</v>
      </c>
    </row>
    <row r="89" ht="15.75" customHeight="1">
      <c r="A89" s="3" t="s">
        <v>886</v>
      </c>
      <c r="B89" s="3" t="s">
        <v>582</v>
      </c>
      <c r="C89" s="3" t="s">
        <v>887</v>
      </c>
      <c r="D89" s="3" t="s">
        <v>888</v>
      </c>
      <c r="E89" s="3" t="s">
        <v>694</v>
      </c>
      <c r="F89" s="6" t="s">
        <v>889</v>
      </c>
      <c r="G89" s="3" t="s">
        <v>20</v>
      </c>
      <c r="H89" s="3" t="s">
        <v>697</v>
      </c>
      <c r="I89" s="3"/>
      <c r="J89" s="9" t="s">
        <v>699</v>
      </c>
      <c r="K89" s="9" t="s">
        <v>489</v>
      </c>
      <c r="L89" s="14" t="s">
        <v>294</v>
      </c>
      <c r="M89" s="9" t="s">
        <v>701</v>
      </c>
    </row>
    <row r="90" ht="15.75" customHeight="1">
      <c r="A90" s="3" t="s">
        <v>890</v>
      </c>
      <c r="B90" s="3" t="s">
        <v>582</v>
      </c>
      <c r="C90" s="3" t="s">
        <v>891</v>
      </c>
      <c r="D90" s="3" t="s">
        <v>892</v>
      </c>
      <c r="E90" s="3" t="s">
        <v>706</v>
      </c>
      <c r="F90" s="6" t="s">
        <v>707</v>
      </c>
      <c r="G90" s="3" t="s">
        <v>20</v>
      </c>
      <c r="H90" s="3" t="s">
        <v>697</v>
      </c>
      <c r="I90" s="3"/>
      <c r="J90" s="9" t="s">
        <v>709</v>
      </c>
      <c r="K90" s="9" t="s">
        <v>489</v>
      </c>
      <c r="L90" s="14" t="s">
        <v>294</v>
      </c>
      <c r="M90" s="9" t="s">
        <v>701</v>
      </c>
    </row>
    <row r="91" ht="15.75" customHeight="1">
      <c r="A91" s="3" t="s">
        <v>893</v>
      </c>
      <c r="B91" s="3" t="s">
        <v>582</v>
      </c>
      <c r="C91" s="3" t="s">
        <v>894</v>
      </c>
      <c r="D91" s="3" t="s">
        <v>895</v>
      </c>
      <c r="E91" s="3" t="s">
        <v>716</v>
      </c>
      <c r="F91" s="6" t="s">
        <v>718</v>
      </c>
      <c r="G91" s="3" t="s">
        <v>20</v>
      </c>
      <c r="H91" s="3" t="s">
        <v>697</v>
      </c>
      <c r="I91" s="3"/>
      <c r="J91" s="9" t="s">
        <v>719</v>
      </c>
      <c r="K91" s="9" t="s">
        <v>489</v>
      </c>
      <c r="L91" s="14" t="s">
        <v>294</v>
      </c>
      <c r="M91" s="9" t="s">
        <v>701</v>
      </c>
    </row>
    <row r="92" ht="15.75" customHeight="1">
      <c r="A92" s="3" t="s">
        <v>896</v>
      </c>
      <c r="B92" s="3" t="s">
        <v>582</v>
      </c>
      <c r="C92" s="3" t="s">
        <v>897</v>
      </c>
      <c r="D92" s="3" t="s">
        <v>898</v>
      </c>
      <c r="E92" s="3" t="s">
        <v>726</v>
      </c>
      <c r="F92" s="6" t="s">
        <v>728</v>
      </c>
      <c r="G92" s="3" t="s">
        <v>20</v>
      </c>
      <c r="H92" s="3" t="s">
        <v>697</v>
      </c>
      <c r="I92" s="3"/>
      <c r="J92" s="9" t="s">
        <v>729</v>
      </c>
      <c r="K92" s="9" t="s">
        <v>489</v>
      </c>
      <c r="L92" s="14" t="s">
        <v>294</v>
      </c>
      <c r="M92" s="9" t="s">
        <v>899</v>
      </c>
    </row>
    <row r="93" ht="15.75" customHeight="1">
      <c r="A93" s="3" t="s">
        <v>900</v>
      </c>
      <c r="B93" s="3" t="s">
        <v>582</v>
      </c>
      <c r="C93" s="3" t="s">
        <v>901</v>
      </c>
      <c r="D93" s="3" t="s">
        <v>902</v>
      </c>
      <c r="E93" s="3" t="s">
        <v>736</v>
      </c>
      <c r="F93" s="6" t="s">
        <v>738</v>
      </c>
      <c r="G93" s="3" t="s">
        <v>20</v>
      </c>
      <c r="H93" s="3" t="s">
        <v>697</v>
      </c>
      <c r="I93" s="3"/>
      <c r="J93" s="9" t="s">
        <v>739</v>
      </c>
      <c r="K93" s="9" t="s">
        <v>489</v>
      </c>
      <c r="L93" s="14" t="s">
        <v>294</v>
      </c>
      <c r="M93" s="9" t="s">
        <v>701</v>
      </c>
    </row>
    <row r="94" ht="15.75" customHeight="1">
      <c r="A94" s="3" t="s">
        <v>903</v>
      </c>
      <c r="B94" s="3" t="s">
        <v>582</v>
      </c>
      <c r="C94" s="3" t="s">
        <v>904</v>
      </c>
      <c r="D94" s="3" t="s">
        <v>905</v>
      </c>
      <c r="E94" s="3" t="s">
        <v>750</v>
      </c>
      <c r="F94" s="6" t="s">
        <v>751</v>
      </c>
      <c r="G94" s="3" t="s">
        <v>20</v>
      </c>
      <c r="H94" s="3" t="s">
        <v>697</v>
      </c>
      <c r="I94" s="3"/>
      <c r="J94" s="9" t="s">
        <v>752</v>
      </c>
      <c r="K94" s="9" t="s">
        <v>489</v>
      </c>
      <c r="L94" s="14" t="s">
        <v>294</v>
      </c>
      <c r="M94" s="9" t="s">
        <v>906</v>
      </c>
    </row>
    <row r="95" ht="15.75" customHeight="1">
      <c r="A95" s="3" t="s">
        <v>907</v>
      </c>
      <c r="B95" s="3" t="s">
        <v>582</v>
      </c>
      <c r="C95" s="3" t="s">
        <v>908</v>
      </c>
      <c r="D95" s="3" t="s">
        <v>909</v>
      </c>
      <c r="E95" s="3" t="s">
        <v>756</v>
      </c>
      <c r="F95" s="6" t="s">
        <v>910</v>
      </c>
      <c r="G95" s="3" t="s">
        <v>20</v>
      </c>
      <c r="H95" s="3" t="s">
        <v>697</v>
      </c>
      <c r="I95" s="3"/>
      <c r="J95" s="9" t="s">
        <v>758</v>
      </c>
      <c r="K95" s="9" t="s">
        <v>489</v>
      </c>
      <c r="L95" s="14" t="s">
        <v>294</v>
      </c>
      <c r="M95" s="9" t="s">
        <v>911</v>
      </c>
    </row>
    <row r="96" ht="15.75" customHeight="1">
      <c r="A96" s="3" t="s">
        <v>912</v>
      </c>
      <c r="B96" s="3" t="s">
        <v>582</v>
      </c>
      <c r="C96" s="3" t="s">
        <v>913</v>
      </c>
      <c r="D96" s="3" t="s">
        <v>914</v>
      </c>
      <c r="E96" s="3" t="s">
        <v>915</v>
      </c>
      <c r="F96" s="6" t="s">
        <v>916</v>
      </c>
      <c r="G96" s="3" t="s">
        <v>26</v>
      </c>
      <c r="H96" s="3" t="s">
        <v>83</v>
      </c>
      <c r="I96" s="3" t="s">
        <v>196</v>
      </c>
      <c r="J96" s="9"/>
      <c r="K96" s="9" t="s">
        <v>64</v>
      </c>
      <c r="L96" s="14" t="s">
        <v>294</v>
      </c>
      <c r="M96" s="9" t="s">
        <v>917</v>
      </c>
    </row>
    <row r="97" ht="15.75" customHeight="1">
      <c r="A97" s="3" t="s">
        <v>918</v>
      </c>
      <c r="B97" s="3" t="s">
        <v>582</v>
      </c>
      <c r="C97" s="3" t="s">
        <v>919</v>
      </c>
      <c r="D97" s="3" t="s">
        <v>920</v>
      </c>
      <c r="E97" s="3" t="s">
        <v>215</v>
      </c>
      <c r="F97" s="6" t="s">
        <v>314</v>
      </c>
      <c r="G97" s="3" t="s">
        <v>23</v>
      </c>
      <c r="H97" s="3" t="s">
        <v>58</v>
      </c>
      <c r="I97" s="3"/>
      <c r="J97" s="9"/>
      <c r="K97" s="9" t="s">
        <v>64</v>
      </c>
      <c r="L97" s="14" t="s">
        <v>294</v>
      </c>
      <c r="M97" s="9" t="s">
        <v>347</v>
      </c>
    </row>
    <row r="98" ht="15.75" customHeight="1">
      <c r="A98" s="3" t="s">
        <v>921</v>
      </c>
      <c r="B98" s="3" t="s">
        <v>582</v>
      </c>
      <c r="C98" s="3" t="s">
        <v>922</v>
      </c>
      <c r="D98" s="3" t="s">
        <v>923</v>
      </c>
      <c r="E98" s="3" t="s">
        <v>924</v>
      </c>
      <c r="F98" s="6" t="s">
        <v>925</v>
      </c>
      <c r="G98" s="3" t="s">
        <v>20</v>
      </c>
      <c r="H98" s="3" t="s">
        <v>100</v>
      </c>
      <c r="I98" s="3"/>
      <c r="J98" s="9" t="s">
        <v>926</v>
      </c>
      <c r="K98" s="9" t="s">
        <v>86</v>
      </c>
      <c r="L98" s="14" t="s">
        <v>294</v>
      </c>
      <c r="M98" s="9" t="s">
        <v>775</v>
      </c>
    </row>
    <row r="99" ht="15.75" customHeight="1">
      <c r="A99" s="3" t="s">
        <v>927</v>
      </c>
      <c r="B99" s="3" t="s">
        <v>582</v>
      </c>
      <c r="C99" s="3" t="s">
        <v>928</v>
      </c>
      <c r="D99" s="3" t="s">
        <v>929</v>
      </c>
      <c r="E99" s="3" t="s">
        <v>779</v>
      </c>
      <c r="F99" s="6" t="s">
        <v>930</v>
      </c>
      <c r="G99" s="3" t="s">
        <v>26</v>
      </c>
      <c r="H99" s="3" t="s">
        <v>83</v>
      </c>
      <c r="I99" s="3" t="s">
        <v>196</v>
      </c>
      <c r="J99" s="9"/>
      <c r="K99" s="9" t="s">
        <v>64</v>
      </c>
      <c r="L99" s="14" t="s">
        <v>294</v>
      </c>
      <c r="M99" s="9" t="s">
        <v>781</v>
      </c>
    </row>
    <row r="100" ht="15.75" customHeight="1">
      <c r="A100" s="3" t="s">
        <v>931</v>
      </c>
      <c r="B100" s="3" t="s">
        <v>582</v>
      </c>
      <c r="C100" s="3" t="s">
        <v>932</v>
      </c>
      <c r="D100" s="3" t="s">
        <v>933</v>
      </c>
      <c r="E100" s="3" t="s">
        <v>215</v>
      </c>
      <c r="F100" s="6" t="s">
        <v>314</v>
      </c>
      <c r="G100" s="3" t="s">
        <v>23</v>
      </c>
      <c r="H100" s="3" t="s">
        <v>58</v>
      </c>
      <c r="I100" s="3"/>
      <c r="J100" s="9"/>
      <c r="K100" s="9" t="s">
        <v>64</v>
      </c>
      <c r="L100" s="14" t="s">
        <v>294</v>
      </c>
      <c r="M100" s="9" t="s">
        <v>347</v>
      </c>
    </row>
    <row r="101" ht="15.75" customHeight="1">
      <c r="A101" s="3" t="s">
        <v>934</v>
      </c>
      <c r="B101" s="3" t="s">
        <v>582</v>
      </c>
      <c r="C101" s="3" t="s">
        <v>935</v>
      </c>
      <c r="D101" s="3" t="s">
        <v>936</v>
      </c>
      <c r="E101" s="3" t="s">
        <v>788</v>
      </c>
      <c r="F101" s="6" t="s">
        <v>937</v>
      </c>
      <c r="G101" s="3" t="s">
        <v>20</v>
      </c>
      <c r="H101" s="3" t="s">
        <v>100</v>
      </c>
      <c r="I101" s="3"/>
      <c r="J101" s="9" t="s">
        <v>938</v>
      </c>
      <c r="K101" s="9" t="s">
        <v>86</v>
      </c>
      <c r="L101" s="14" t="s">
        <v>294</v>
      </c>
      <c r="M101" s="9" t="s">
        <v>939</v>
      </c>
    </row>
    <row r="102" ht="15.75" customHeight="1">
      <c r="A102" s="3" t="s">
        <v>940</v>
      </c>
      <c r="B102" s="3" t="s">
        <v>582</v>
      </c>
      <c r="C102" s="3" t="s">
        <v>793</v>
      </c>
      <c r="D102" s="3" t="s">
        <v>941</v>
      </c>
      <c r="E102" s="3" t="s">
        <v>795</v>
      </c>
      <c r="F102" s="6" t="s">
        <v>942</v>
      </c>
      <c r="G102" s="3" t="s">
        <v>26</v>
      </c>
      <c r="H102" s="3" t="s">
        <v>83</v>
      </c>
      <c r="I102" s="3"/>
      <c r="J102" s="9"/>
      <c r="K102" s="9" t="s">
        <v>64</v>
      </c>
      <c r="L102" s="14" t="s">
        <v>294</v>
      </c>
      <c r="M102" s="9" t="s">
        <v>943</v>
      </c>
    </row>
    <row r="103" ht="15.75" customHeight="1">
      <c r="A103" s="3" t="s">
        <v>944</v>
      </c>
      <c r="B103" s="3" t="s">
        <v>582</v>
      </c>
      <c r="C103" s="3" t="s">
        <v>945</v>
      </c>
      <c r="D103" s="3" t="s">
        <v>946</v>
      </c>
      <c r="E103" s="3" t="s">
        <v>215</v>
      </c>
      <c r="F103" s="6" t="s">
        <v>314</v>
      </c>
      <c r="G103" s="3" t="s">
        <v>23</v>
      </c>
      <c r="H103" s="3" t="s">
        <v>58</v>
      </c>
      <c r="I103" s="3"/>
      <c r="J103" s="9"/>
      <c r="K103" s="9" t="s">
        <v>64</v>
      </c>
      <c r="L103" s="14" t="s">
        <v>294</v>
      </c>
      <c r="M103" s="9" t="s">
        <v>347</v>
      </c>
    </row>
    <row r="104" ht="15.75" customHeight="1">
      <c r="A104" s="3" t="s">
        <v>947</v>
      </c>
      <c r="B104" s="3" t="s">
        <v>582</v>
      </c>
      <c r="C104" s="3" t="s">
        <v>948</v>
      </c>
      <c r="D104" s="3" t="s">
        <v>949</v>
      </c>
      <c r="E104" s="3" t="s">
        <v>950</v>
      </c>
      <c r="F104" s="6" t="s">
        <v>951</v>
      </c>
      <c r="G104" s="3" t="s">
        <v>20</v>
      </c>
      <c r="H104" s="3" t="s">
        <v>813</v>
      </c>
      <c r="I104" s="3" t="s">
        <v>358</v>
      </c>
      <c r="J104" s="9" t="s">
        <v>952</v>
      </c>
      <c r="K104" s="9" t="s">
        <v>86</v>
      </c>
      <c r="L104" s="14" t="s">
        <v>294</v>
      </c>
      <c r="M104" s="9" t="s">
        <v>953</v>
      </c>
    </row>
    <row r="105" ht="15.75" customHeight="1">
      <c r="A105" s="3" t="s">
        <v>954</v>
      </c>
      <c r="B105" s="3" t="s">
        <v>582</v>
      </c>
      <c r="C105" s="3" t="s">
        <v>955</v>
      </c>
      <c r="D105" s="3" t="s">
        <v>956</v>
      </c>
      <c r="E105" s="3" t="s">
        <v>957</v>
      </c>
      <c r="F105" s="6" t="s">
        <v>958</v>
      </c>
      <c r="G105" s="3" t="s">
        <v>26</v>
      </c>
      <c r="H105" s="3" t="s">
        <v>83</v>
      </c>
      <c r="I105" s="3"/>
      <c r="J105" s="9"/>
      <c r="K105" s="9" t="s">
        <v>64</v>
      </c>
      <c r="L105" s="14" t="s">
        <v>294</v>
      </c>
      <c r="M105" s="9" t="s">
        <v>821</v>
      </c>
    </row>
    <row r="106" ht="15.75" customHeight="1">
      <c r="A106" s="3" t="s">
        <v>959</v>
      </c>
      <c r="B106" s="3" t="s">
        <v>582</v>
      </c>
      <c r="C106" s="3" t="s">
        <v>960</v>
      </c>
      <c r="D106" s="3" t="s">
        <v>961</v>
      </c>
      <c r="E106" s="3" t="s">
        <v>215</v>
      </c>
      <c r="F106" s="6" t="s">
        <v>217</v>
      </c>
      <c r="G106" s="3" t="s">
        <v>23</v>
      </c>
      <c r="H106" s="3" t="s">
        <v>58</v>
      </c>
      <c r="I106" s="3"/>
      <c r="J106" s="9"/>
      <c r="K106" s="9" t="s">
        <v>64</v>
      </c>
      <c r="L106" s="14" t="s">
        <v>294</v>
      </c>
      <c r="M106" s="9" t="s">
        <v>347</v>
      </c>
    </row>
    <row r="107" ht="15.75" customHeight="1">
      <c r="A107" s="3" t="s">
        <v>962</v>
      </c>
      <c r="B107" s="3" t="s">
        <v>582</v>
      </c>
      <c r="C107" s="3" t="s">
        <v>963</v>
      </c>
      <c r="D107" s="3" t="s">
        <v>964</v>
      </c>
      <c r="E107" s="3" t="s">
        <v>828</v>
      </c>
      <c r="F107" s="6" t="s">
        <v>965</v>
      </c>
      <c r="G107" s="3" t="s">
        <v>26</v>
      </c>
      <c r="H107" s="3" t="s">
        <v>83</v>
      </c>
      <c r="I107" s="3"/>
      <c r="J107" s="9"/>
      <c r="K107" s="9" t="s">
        <v>64</v>
      </c>
      <c r="L107" s="14" t="s">
        <v>294</v>
      </c>
      <c r="M107" s="9" t="s">
        <v>830</v>
      </c>
    </row>
    <row r="108" ht="15.75" customHeight="1">
      <c r="A108" s="3" t="s">
        <v>966</v>
      </c>
      <c r="B108" s="3" t="s">
        <v>582</v>
      </c>
      <c r="C108" s="3" t="s">
        <v>967</v>
      </c>
      <c r="D108" s="3" t="s">
        <v>968</v>
      </c>
      <c r="E108" s="3" t="s">
        <v>215</v>
      </c>
      <c r="F108" s="6" t="s">
        <v>217</v>
      </c>
      <c r="G108" s="3" t="s">
        <v>23</v>
      </c>
      <c r="H108" s="3" t="s">
        <v>58</v>
      </c>
      <c r="I108" s="3"/>
      <c r="J108" s="9"/>
      <c r="K108" s="9" t="s">
        <v>64</v>
      </c>
      <c r="L108" s="14" t="s">
        <v>294</v>
      </c>
      <c r="M108" s="9" t="s">
        <v>347</v>
      </c>
    </row>
    <row r="109" ht="15.75" customHeight="1">
      <c r="A109" s="3" t="s">
        <v>969</v>
      </c>
      <c r="B109" s="3" t="s">
        <v>582</v>
      </c>
      <c r="C109" s="3" t="s">
        <v>597</v>
      </c>
      <c r="D109" s="3" t="s">
        <v>970</v>
      </c>
      <c r="E109" s="3" t="s">
        <v>836</v>
      </c>
      <c r="F109" s="6" t="s">
        <v>971</v>
      </c>
      <c r="G109" s="3" t="s">
        <v>26</v>
      </c>
      <c r="H109" s="3" t="s">
        <v>83</v>
      </c>
      <c r="I109" s="3"/>
      <c r="J109" s="9"/>
      <c r="K109" s="9" t="s">
        <v>64</v>
      </c>
      <c r="L109" s="14" t="s">
        <v>294</v>
      </c>
      <c r="M109" s="9" t="s">
        <v>838</v>
      </c>
    </row>
    <row r="110" ht="15.75" customHeight="1">
      <c r="A110" s="3" t="s">
        <v>972</v>
      </c>
      <c r="B110" s="3" t="s">
        <v>582</v>
      </c>
      <c r="C110" s="3" t="s">
        <v>973</v>
      </c>
      <c r="D110" s="3" t="s">
        <v>974</v>
      </c>
      <c r="E110" s="3" t="s">
        <v>215</v>
      </c>
      <c r="F110" s="6" t="s">
        <v>217</v>
      </c>
      <c r="G110" s="3" t="s">
        <v>23</v>
      </c>
      <c r="H110" s="3" t="s">
        <v>58</v>
      </c>
      <c r="I110" s="3"/>
      <c r="J110" s="9"/>
      <c r="K110" s="9" t="s">
        <v>64</v>
      </c>
      <c r="L110" s="14" t="s">
        <v>294</v>
      </c>
      <c r="M110" s="9" t="s">
        <v>347</v>
      </c>
    </row>
    <row r="111" ht="15.75" customHeight="1">
      <c r="A111" s="3" t="s">
        <v>975</v>
      </c>
      <c r="B111" s="3" t="s">
        <v>582</v>
      </c>
      <c r="C111" s="3" t="s">
        <v>976</v>
      </c>
      <c r="D111" s="3" t="s">
        <v>977</v>
      </c>
      <c r="E111" s="3" t="s">
        <v>845</v>
      </c>
      <c r="F111" s="6" t="s">
        <v>846</v>
      </c>
      <c r="G111" s="3" t="s">
        <v>26</v>
      </c>
      <c r="H111" s="3" t="s">
        <v>83</v>
      </c>
      <c r="I111" s="3"/>
      <c r="J111" s="9"/>
      <c r="K111" s="9" t="s">
        <v>64</v>
      </c>
      <c r="L111" s="14" t="s">
        <v>294</v>
      </c>
      <c r="M111" s="9" t="s">
        <v>847</v>
      </c>
    </row>
    <row r="112" ht="15.75" customHeight="1">
      <c r="A112" s="3" t="s">
        <v>978</v>
      </c>
      <c r="B112" s="3" t="s">
        <v>582</v>
      </c>
      <c r="C112" s="3" t="s">
        <v>979</v>
      </c>
      <c r="D112" s="3" t="s">
        <v>980</v>
      </c>
      <c r="E112" s="3" t="s">
        <v>215</v>
      </c>
      <c r="F112" s="6" t="s">
        <v>314</v>
      </c>
      <c r="G112" s="3" t="s">
        <v>23</v>
      </c>
      <c r="H112" s="3" t="s">
        <v>58</v>
      </c>
      <c r="I112" s="3"/>
      <c r="J112" s="9"/>
      <c r="K112" s="9" t="s">
        <v>64</v>
      </c>
      <c r="L112" s="14" t="s">
        <v>294</v>
      </c>
      <c r="M112" s="9" t="s">
        <v>347</v>
      </c>
    </row>
    <row r="113" ht="15.75" customHeight="1">
      <c r="A113" s="3" t="s">
        <v>981</v>
      </c>
      <c r="B113" s="3" t="s">
        <v>582</v>
      </c>
      <c r="C113" s="3" t="s">
        <v>982</v>
      </c>
      <c r="D113" s="3" t="s">
        <v>983</v>
      </c>
      <c r="E113" s="3" t="s">
        <v>984</v>
      </c>
      <c r="F113" s="6" t="s">
        <v>985</v>
      </c>
      <c r="G113" s="3" t="s">
        <v>23</v>
      </c>
      <c r="H113" s="3" t="s">
        <v>58</v>
      </c>
      <c r="I113" s="3" t="s">
        <v>196</v>
      </c>
      <c r="J113" s="9"/>
      <c r="K113" s="9" t="s">
        <v>64</v>
      </c>
      <c r="L113" s="14" t="s">
        <v>294</v>
      </c>
      <c r="M113" s="9" t="s">
        <v>986</v>
      </c>
    </row>
    <row r="114" ht="15.75" customHeight="1">
      <c r="A114" s="3" t="s">
        <v>987</v>
      </c>
      <c r="B114" s="3" t="s">
        <v>582</v>
      </c>
      <c r="C114" s="3" t="s">
        <v>988</v>
      </c>
      <c r="D114" s="3" t="s">
        <v>989</v>
      </c>
      <c r="E114" s="3" t="s">
        <v>990</v>
      </c>
      <c r="F114" s="6" t="s">
        <v>991</v>
      </c>
      <c r="G114" s="3" t="s">
        <v>20</v>
      </c>
      <c r="H114" s="3" t="s">
        <v>100</v>
      </c>
      <c r="I114" s="3"/>
      <c r="J114" s="9" t="s">
        <v>992</v>
      </c>
      <c r="K114" s="9" t="s">
        <v>86</v>
      </c>
      <c r="L114" s="14" t="s">
        <v>294</v>
      </c>
      <c r="M114" s="9" t="s">
        <v>993</v>
      </c>
    </row>
    <row r="115" ht="15.75" customHeight="1">
      <c r="A115" s="3" t="s">
        <v>994</v>
      </c>
      <c r="B115" s="3" t="s">
        <v>582</v>
      </c>
      <c r="C115" s="3" t="s">
        <v>995</v>
      </c>
      <c r="D115" s="3" t="s">
        <v>996</v>
      </c>
      <c r="E115" s="3" t="s">
        <v>997</v>
      </c>
      <c r="F115" s="6" t="s">
        <v>998</v>
      </c>
      <c r="G115" s="3" t="s">
        <v>20</v>
      </c>
      <c r="H115" s="3" t="s">
        <v>100</v>
      </c>
      <c r="I115" s="3"/>
      <c r="J115" s="9" t="s">
        <v>999</v>
      </c>
      <c r="K115" s="9" t="s">
        <v>86</v>
      </c>
      <c r="L115" s="14" t="s">
        <v>294</v>
      </c>
      <c r="M115" s="9" t="s">
        <v>1000</v>
      </c>
    </row>
    <row r="116" ht="15.75" customHeight="1">
      <c r="A116" s="3" t="s">
        <v>1001</v>
      </c>
      <c r="B116" s="3" t="s">
        <v>582</v>
      </c>
      <c r="C116" s="3" t="s">
        <v>1002</v>
      </c>
      <c r="D116" s="3" t="s">
        <v>1003</v>
      </c>
      <c r="E116" s="3" t="s">
        <v>1004</v>
      </c>
      <c r="F116" s="6" t="s">
        <v>1005</v>
      </c>
      <c r="G116" s="3" t="s">
        <v>20</v>
      </c>
      <c r="H116" s="3" t="s">
        <v>100</v>
      </c>
      <c r="I116" s="3" t="s">
        <v>358</v>
      </c>
      <c r="J116" s="9" t="s">
        <v>856</v>
      </c>
      <c r="K116" s="9" t="s">
        <v>86</v>
      </c>
      <c r="L116" s="14" t="s">
        <v>294</v>
      </c>
      <c r="M116" s="9" t="s">
        <v>1006</v>
      </c>
    </row>
    <row r="117" ht="15.75" customHeight="1">
      <c r="A117" s="3" t="s">
        <v>1007</v>
      </c>
      <c r="B117" s="3" t="s">
        <v>582</v>
      </c>
      <c r="C117" s="3" t="s">
        <v>1008</v>
      </c>
      <c r="D117" s="3" t="s">
        <v>1009</v>
      </c>
      <c r="E117" s="3" t="s">
        <v>1010</v>
      </c>
      <c r="F117" s="6" t="s">
        <v>1011</v>
      </c>
      <c r="G117" s="3" t="s">
        <v>20</v>
      </c>
      <c r="H117" s="3" t="s">
        <v>100</v>
      </c>
      <c r="I117" s="3"/>
      <c r="J117" s="9" t="s">
        <v>1012</v>
      </c>
      <c r="K117" s="9" t="s">
        <v>86</v>
      </c>
      <c r="L117" s="14" t="s">
        <v>294</v>
      </c>
      <c r="M117" s="9" t="s">
        <v>1013</v>
      </c>
    </row>
    <row r="118" ht="15.75" customHeight="1">
      <c r="A118" s="3" t="s">
        <v>1014</v>
      </c>
      <c r="B118" s="3" t="s">
        <v>582</v>
      </c>
      <c r="C118" s="3" t="s">
        <v>1015</v>
      </c>
      <c r="D118" s="3" t="s">
        <v>1016</v>
      </c>
      <c r="E118" s="3" t="s">
        <v>1017</v>
      </c>
      <c r="F118" s="6" t="s">
        <v>1018</v>
      </c>
      <c r="G118" s="3" t="s">
        <v>20</v>
      </c>
      <c r="H118" s="3" t="s">
        <v>100</v>
      </c>
      <c r="I118" s="3"/>
      <c r="J118" s="9" t="s">
        <v>863</v>
      </c>
      <c r="K118" s="9" t="s">
        <v>86</v>
      </c>
      <c r="L118" s="14" t="s">
        <v>294</v>
      </c>
      <c r="M118" s="9" t="s">
        <v>1019</v>
      </c>
    </row>
    <row r="119" ht="15.75" customHeight="1">
      <c r="A119" s="3" t="s">
        <v>1020</v>
      </c>
      <c r="B119" s="3" t="s">
        <v>582</v>
      </c>
      <c r="C119" s="3" t="s">
        <v>1021</v>
      </c>
      <c r="D119" s="3" t="s">
        <v>1022</v>
      </c>
      <c r="E119" s="3" t="s">
        <v>1023</v>
      </c>
      <c r="F119" s="6" t="s">
        <v>1024</v>
      </c>
      <c r="G119" s="3" t="s">
        <v>20</v>
      </c>
      <c r="H119" s="3" t="s">
        <v>100</v>
      </c>
      <c r="I119" s="3"/>
      <c r="J119" s="9" t="s">
        <v>870</v>
      </c>
      <c r="K119" s="9" t="s">
        <v>86</v>
      </c>
      <c r="L119" s="14" t="s">
        <v>294</v>
      </c>
      <c r="M119" s="9" t="s">
        <v>1025</v>
      </c>
    </row>
    <row r="120" ht="15.75" customHeight="1">
      <c r="A120" s="3" t="s">
        <v>1026</v>
      </c>
      <c r="B120" s="3" t="s">
        <v>582</v>
      </c>
      <c r="C120" s="3" t="s">
        <v>1027</v>
      </c>
      <c r="D120" s="3" t="s">
        <v>1028</v>
      </c>
      <c r="E120" s="3" t="s">
        <v>1029</v>
      </c>
      <c r="F120" s="6" t="s">
        <v>1030</v>
      </c>
      <c r="G120" s="3" t="s">
        <v>20</v>
      </c>
      <c r="H120" s="3" t="s">
        <v>100</v>
      </c>
      <c r="I120" s="3"/>
      <c r="J120" s="9" t="s">
        <v>877</v>
      </c>
      <c r="K120" s="9" t="s">
        <v>86</v>
      </c>
      <c r="L120" s="14" t="s">
        <v>294</v>
      </c>
      <c r="M120" s="9" t="s">
        <v>1031</v>
      </c>
    </row>
    <row r="121" ht="15.75" customHeight="1">
      <c r="A121" s="3" t="s">
        <v>1032</v>
      </c>
      <c r="B121" s="3" t="s">
        <v>582</v>
      </c>
      <c r="C121" s="3" t="s">
        <v>1033</v>
      </c>
      <c r="D121" s="3" t="s">
        <v>1034</v>
      </c>
      <c r="E121" s="3" t="s">
        <v>1035</v>
      </c>
      <c r="F121" s="6" t="s">
        <v>1036</v>
      </c>
      <c r="G121" s="3" t="s">
        <v>20</v>
      </c>
      <c r="H121" s="3" t="s">
        <v>100</v>
      </c>
      <c r="I121" s="3"/>
      <c r="J121" s="9" t="s">
        <v>884</v>
      </c>
      <c r="K121" s="9" t="s">
        <v>86</v>
      </c>
      <c r="L121" s="14" t="s">
        <v>294</v>
      </c>
      <c r="M121" s="9" t="s">
        <v>1037</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21"/>
  <dataValidations>
    <dataValidation type="list" allowBlank="1" sqref="L2:L121">
      <formula1>"A validar,Validado"</formula1>
    </dataValidation>
    <dataValidation type="list" allowBlank="1" sqref="K2:K121">
      <formula1>"regra de negócio,infraestrutura (excluída),a discutir"</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5.29"/>
    <col customWidth="1" min="3" max="3" width="17.14"/>
    <col customWidth="1" min="4" max="4" width="16.29"/>
    <col customWidth="1" min="5" max="5" width="60.0"/>
    <col customWidth="1" min="6" max="6" width="72.0"/>
    <col customWidth="1" min="7" max="7" width="30.0"/>
    <col customWidth="1" min="8" max="8" width="24.0"/>
    <col customWidth="1" min="9" max="9" width="16.0"/>
    <col customWidth="1" min="10" max="26" width="8.71"/>
  </cols>
  <sheetData>
    <row r="1" ht="30.0" customHeight="1">
      <c r="A1" s="4" t="s">
        <v>4</v>
      </c>
      <c r="B1" s="4" t="s">
        <v>3</v>
      </c>
      <c r="C1" s="4" t="s">
        <v>7</v>
      </c>
      <c r="D1" s="4" t="s">
        <v>9</v>
      </c>
      <c r="E1" s="4" t="s">
        <v>12</v>
      </c>
      <c r="F1" s="4" t="s">
        <v>14</v>
      </c>
      <c r="G1" s="4" t="s">
        <v>17</v>
      </c>
      <c r="H1" s="4" t="s">
        <v>19</v>
      </c>
      <c r="I1" s="4" t="s">
        <v>22</v>
      </c>
    </row>
    <row r="2">
      <c r="A2" s="3" t="s">
        <v>25</v>
      </c>
      <c r="B2" s="3" t="s">
        <v>27</v>
      </c>
      <c r="C2" s="3" t="s">
        <v>29</v>
      </c>
      <c r="D2" s="3" t="s">
        <v>32</v>
      </c>
      <c r="E2" s="3" t="s">
        <v>36</v>
      </c>
      <c r="F2" s="6" t="s">
        <v>40</v>
      </c>
      <c r="G2" s="3" t="s">
        <v>45</v>
      </c>
      <c r="H2" s="3" t="s">
        <v>50</v>
      </c>
      <c r="I2" s="10" t="s">
        <v>59</v>
      </c>
    </row>
    <row r="3">
      <c r="A3" s="3" t="s">
        <v>60</v>
      </c>
      <c r="B3" s="3" t="s">
        <v>27</v>
      </c>
      <c r="C3" s="3" t="s">
        <v>61</v>
      </c>
      <c r="D3" s="3" t="s">
        <v>62</v>
      </c>
      <c r="E3" s="3" t="s">
        <v>63</v>
      </c>
      <c r="F3" s="6" t="s">
        <v>65</v>
      </c>
      <c r="G3" s="3" t="s">
        <v>45</v>
      </c>
      <c r="H3" s="3"/>
      <c r="I3" s="10" t="s">
        <v>59</v>
      </c>
    </row>
    <row r="4">
      <c r="A4" s="3" t="s">
        <v>66</v>
      </c>
      <c r="B4" s="3" t="s">
        <v>27</v>
      </c>
      <c r="C4" s="3" t="s">
        <v>67</v>
      </c>
      <c r="D4" s="3" t="s">
        <v>69</v>
      </c>
      <c r="E4" s="3" t="s">
        <v>70</v>
      </c>
      <c r="F4" s="6" t="s">
        <v>71</v>
      </c>
      <c r="G4" s="3" t="s">
        <v>45</v>
      </c>
      <c r="H4" s="3"/>
      <c r="I4" s="10" t="s">
        <v>59</v>
      </c>
    </row>
    <row r="5">
      <c r="A5" s="3" t="s">
        <v>73</v>
      </c>
      <c r="B5" s="3" t="s">
        <v>27</v>
      </c>
      <c r="C5" s="3" t="s">
        <v>75</v>
      </c>
      <c r="D5" s="3" t="s">
        <v>76</v>
      </c>
      <c r="E5" s="3" t="s">
        <v>78</v>
      </c>
      <c r="F5" s="6" t="s">
        <v>80</v>
      </c>
      <c r="G5" s="3" t="s">
        <v>45</v>
      </c>
      <c r="H5" s="3" t="s">
        <v>50</v>
      </c>
      <c r="I5" s="10" t="s">
        <v>59</v>
      </c>
    </row>
    <row r="6">
      <c r="A6" s="3" t="s">
        <v>85</v>
      </c>
      <c r="B6" s="3" t="s">
        <v>27</v>
      </c>
      <c r="C6" s="3" t="s">
        <v>87</v>
      </c>
      <c r="D6" s="3" t="s">
        <v>88</v>
      </c>
      <c r="E6" s="3" t="s">
        <v>89</v>
      </c>
      <c r="F6" s="6" t="s">
        <v>91</v>
      </c>
      <c r="G6" s="3" t="s">
        <v>45</v>
      </c>
      <c r="H6" s="3" t="s">
        <v>50</v>
      </c>
      <c r="I6" s="10" t="s">
        <v>95</v>
      </c>
    </row>
    <row r="7">
      <c r="A7" s="3" t="s">
        <v>97</v>
      </c>
      <c r="B7" s="3" t="s">
        <v>27</v>
      </c>
      <c r="C7" s="3" t="s">
        <v>99</v>
      </c>
      <c r="D7" s="3" t="s">
        <v>101</v>
      </c>
      <c r="E7" s="3" t="s">
        <v>103</v>
      </c>
      <c r="F7" s="6" t="s">
        <v>104</v>
      </c>
      <c r="G7" s="3" t="s">
        <v>45</v>
      </c>
      <c r="H7" s="3"/>
      <c r="I7" s="10" t="s">
        <v>59</v>
      </c>
    </row>
    <row r="8">
      <c r="A8" s="3" t="s">
        <v>109</v>
      </c>
      <c r="B8" s="3" t="s">
        <v>27</v>
      </c>
      <c r="C8" s="3" t="s">
        <v>111</v>
      </c>
      <c r="D8" s="3" t="s">
        <v>113</v>
      </c>
      <c r="E8" s="3" t="s">
        <v>78</v>
      </c>
      <c r="F8" s="6" t="s">
        <v>80</v>
      </c>
      <c r="G8" s="3" t="s">
        <v>45</v>
      </c>
      <c r="H8" s="3" t="s">
        <v>50</v>
      </c>
      <c r="I8" s="10" t="s">
        <v>59</v>
      </c>
    </row>
    <row r="9">
      <c r="A9" s="3" t="s">
        <v>116</v>
      </c>
      <c r="B9" s="3" t="s">
        <v>27</v>
      </c>
      <c r="C9" s="3" t="s">
        <v>119</v>
      </c>
      <c r="D9" s="3" t="s">
        <v>120</v>
      </c>
      <c r="E9" s="3" t="s">
        <v>123</v>
      </c>
      <c r="F9" s="6" t="s">
        <v>125</v>
      </c>
      <c r="G9" s="3" t="s">
        <v>45</v>
      </c>
      <c r="H9" s="3" t="s">
        <v>50</v>
      </c>
      <c r="I9" s="10" t="s">
        <v>95</v>
      </c>
    </row>
    <row r="10">
      <c r="A10" s="3" t="s">
        <v>128</v>
      </c>
      <c r="B10" s="3" t="s">
        <v>27</v>
      </c>
      <c r="C10" s="3" t="s">
        <v>130</v>
      </c>
      <c r="D10" s="3" t="s">
        <v>132</v>
      </c>
      <c r="E10" s="3" t="s">
        <v>134</v>
      </c>
      <c r="F10" s="6" t="s">
        <v>137</v>
      </c>
      <c r="G10" s="3" t="s">
        <v>45</v>
      </c>
      <c r="H10" s="3"/>
      <c r="I10" s="10" t="s">
        <v>59</v>
      </c>
    </row>
    <row r="11">
      <c r="A11" s="3" t="s">
        <v>139</v>
      </c>
      <c r="B11" s="3" t="s">
        <v>27</v>
      </c>
      <c r="C11" s="3" t="s">
        <v>141</v>
      </c>
      <c r="D11" s="3" t="s">
        <v>143</v>
      </c>
      <c r="E11" s="3" t="s">
        <v>144</v>
      </c>
      <c r="F11" s="6" t="s">
        <v>149</v>
      </c>
      <c r="G11" s="3" t="s">
        <v>45</v>
      </c>
      <c r="H11" s="3"/>
      <c r="I11" s="10" t="s">
        <v>59</v>
      </c>
    </row>
    <row r="12">
      <c r="A12" s="3" t="s">
        <v>150</v>
      </c>
      <c r="B12" s="3" t="s">
        <v>27</v>
      </c>
      <c r="C12" s="3" t="s">
        <v>153</v>
      </c>
      <c r="D12" s="3" t="s">
        <v>156</v>
      </c>
      <c r="E12" s="3" t="s">
        <v>158</v>
      </c>
      <c r="F12" s="6" t="s">
        <v>161</v>
      </c>
      <c r="G12" s="3" t="s">
        <v>45</v>
      </c>
      <c r="H12" s="3" t="s">
        <v>162</v>
      </c>
      <c r="I12" s="10" t="s">
        <v>59</v>
      </c>
    </row>
    <row r="13">
      <c r="A13" s="3" t="s">
        <v>167</v>
      </c>
      <c r="B13" s="3" t="s">
        <v>27</v>
      </c>
      <c r="C13" s="3" t="s">
        <v>169</v>
      </c>
      <c r="D13" s="3" t="s">
        <v>171</v>
      </c>
      <c r="E13" s="3" t="s">
        <v>78</v>
      </c>
      <c r="F13" s="6" t="s">
        <v>172</v>
      </c>
      <c r="G13" s="3" t="s">
        <v>45</v>
      </c>
      <c r="H13" s="3" t="s">
        <v>50</v>
      </c>
      <c r="I13" s="10" t="s">
        <v>59</v>
      </c>
    </row>
    <row r="14">
      <c r="A14" s="3" t="s">
        <v>178</v>
      </c>
      <c r="B14" s="3" t="s">
        <v>27</v>
      </c>
      <c r="C14" s="3" t="s">
        <v>181</v>
      </c>
      <c r="D14" s="3" t="s">
        <v>182</v>
      </c>
      <c r="E14" s="3" t="s">
        <v>183</v>
      </c>
      <c r="F14" s="6" t="s">
        <v>185</v>
      </c>
      <c r="G14" s="3" t="s">
        <v>45</v>
      </c>
      <c r="H14" s="3" t="s">
        <v>50</v>
      </c>
      <c r="I14" s="10" t="s">
        <v>95</v>
      </c>
    </row>
    <row r="15">
      <c r="A15" s="3" t="s">
        <v>189</v>
      </c>
      <c r="B15" s="3" t="s">
        <v>27</v>
      </c>
      <c r="C15" s="3" t="s">
        <v>192</v>
      </c>
      <c r="D15" s="3" t="s">
        <v>194</v>
      </c>
      <c r="E15" s="3" t="s">
        <v>195</v>
      </c>
      <c r="F15" s="6" t="s">
        <v>197</v>
      </c>
      <c r="G15" s="3" t="s">
        <v>45</v>
      </c>
      <c r="H15" s="3"/>
      <c r="I15" s="10" t="s">
        <v>59</v>
      </c>
    </row>
    <row r="16">
      <c r="A16" s="3" t="s">
        <v>198</v>
      </c>
      <c r="B16" s="3" t="s">
        <v>27</v>
      </c>
      <c r="C16" s="3" t="s">
        <v>201</v>
      </c>
      <c r="D16" s="3" t="s">
        <v>202</v>
      </c>
      <c r="E16" s="3" t="s">
        <v>158</v>
      </c>
      <c r="F16" s="6" t="s">
        <v>207</v>
      </c>
      <c r="G16" s="3" t="s">
        <v>45</v>
      </c>
      <c r="H16" s="3" t="s">
        <v>162</v>
      </c>
      <c r="I16" s="10" t="s">
        <v>59</v>
      </c>
    </row>
    <row r="17">
      <c r="A17" s="3" t="s">
        <v>210</v>
      </c>
      <c r="B17" s="3" t="s">
        <v>212</v>
      </c>
      <c r="C17" s="3" t="s">
        <v>214</v>
      </c>
      <c r="D17" s="3" t="s">
        <v>216</v>
      </c>
      <c r="E17" s="3" t="s">
        <v>63</v>
      </c>
      <c r="F17" s="6" t="s">
        <v>218</v>
      </c>
      <c r="G17" s="3" t="s">
        <v>45</v>
      </c>
      <c r="H17" s="3"/>
      <c r="I17" s="14"/>
    </row>
    <row r="18">
      <c r="A18" s="3" t="s">
        <v>221</v>
      </c>
      <c r="B18" s="3" t="s">
        <v>212</v>
      </c>
      <c r="C18" s="3" t="s">
        <v>224</v>
      </c>
      <c r="D18" s="3" t="s">
        <v>225</v>
      </c>
      <c r="E18" s="3" t="s">
        <v>158</v>
      </c>
      <c r="F18" s="6" t="s">
        <v>229</v>
      </c>
      <c r="G18" s="3" t="s">
        <v>45</v>
      </c>
      <c r="H18" s="3" t="s">
        <v>162</v>
      </c>
      <c r="I18" s="14"/>
    </row>
    <row r="19">
      <c r="A19" s="3" t="s">
        <v>231</v>
      </c>
      <c r="B19" s="3" t="s">
        <v>212</v>
      </c>
      <c r="C19" s="3" t="s">
        <v>233</v>
      </c>
      <c r="D19" s="3" t="s">
        <v>235</v>
      </c>
      <c r="E19" s="3" t="s">
        <v>237</v>
      </c>
      <c r="F19" s="6" t="s">
        <v>239</v>
      </c>
      <c r="G19" s="3" t="s">
        <v>45</v>
      </c>
      <c r="H19" s="3" t="s">
        <v>50</v>
      </c>
      <c r="I19" s="14"/>
    </row>
    <row r="20">
      <c r="A20" s="3" t="s">
        <v>242</v>
      </c>
      <c r="B20" s="3" t="s">
        <v>212</v>
      </c>
      <c r="C20" s="3" t="s">
        <v>243</v>
      </c>
      <c r="D20" s="3" t="s">
        <v>244</v>
      </c>
      <c r="E20" s="3" t="s">
        <v>246</v>
      </c>
      <c r="F20" s="6" t="s">
        <v>248</v>
      </c>
      <c r="G20" s="3" t="s">
        <v>45</v>
      </c>
      <c r="H20" s="3"/>
      <c r="I20" s="14"/>
    </row>
    <row r="21" ht="15.75" customHeight="1">
      <c r="A21" s="3" t="s">
        <v>252</v>
      </c>
      <c r="B21" s="3" t="s">
        <v>212</v>
      </c>
      <c r="C21" s="3" t="s">
        <v>254</v>
      </c>
      <c r="D21" s="3" t="s">
        <v>255</v>
      </c>
      <c r="E21" s="3" t="s">
        <v>158</v>
      </c>
      <c r="F21" s="6" t="s">
        <v>257</v>
      </c>
      <c r="G21" s="3" t="s">
        <v>45</v>
      </c>
      <c r="H21" s="3" t="s">
        <v>162</v>
      </c>
      <c r="I21" s="14"/>
    </row>
    <row r="22" ht="15.75" customHeight="1">
      <c r="A22" s="3" t="s">
        <v>261</v>
      </c>
      <c r="B22" s="3" t="s">
        <v>212</v>
      </c>
      <c r="C22" s="3" t="s">
        <v>263</v>
      </c>
      <c r="D22" s="3" t="s">
        <v>265</v>
      </c>
      <c r="E22" s="3" t="s">
        <v>158</v>
      </c>
      <c r="F22" s="6" t="s">
        <v>268</v>
      </c>
      <c r="G22" s="3" t="s">
        <v>45</v>
      </c>
      <c r="H22" s="3" t="s">
        <v>162</v>
      </c>
      <c r="I22" s="14"/>
    </row>
    <row r="23" ht="15.75" customHeight="1">
      <c r="A23" s="3" t="s">
        <v>270</v>
      </c>
      <c r="B23" s="3" t="s">
        <v>212</v>
      </c>
      <c r="C23" s="3" t="s">
        <v>272</v>
      </c>
      <c r="D23" s="3" t="s">
        <v>274</v>
      </c>
      <c r="E23" s="3" t="s">
        <v>276</v>
      </c>
      <c r="F23" s="6" t="s">
        <v>277</v>
      </c>
      <c r="G23" s="3" t="s">
        <v>45</v>
      </c>
      <c r="H23" s="3"/>
      <c r="I23" s="14"/>
    </row>
    <row r="24" ht="15.75" customHeight="1">
      <c r="A24" s="3" t="s">
        <v>279</v>
      </c>
      <c r="B24" s="3" t="s">
        <v>212</v>
      </c>
      <c r="C24" s="3" t="s">
        <v>280</v>
      </c>
      <c r="D24" s="3" t="s">
        <v>281</v>
      </c>
      <c r="E24" s="3" t="s">
        <v>282</v>
      </c>
      <c r="F24" s="6" t="s">
        <v>284</v>
      </c>
      <c r="G24" s="3" t="s">
        <v>45</v>
      </c>
      <c r="H24" s="3"/>
      <c r="I24" s="14"/>
    </row>
    <row r="25" ht="15.75" customHeight="1">
      <c r="A25" s="3" t="s">
        <v>288</v>
      </c>
      <c r="B25" s="3" t="s">
        <v>212</v>
      </c>
      <c r="C25" s="3" t="s">
        <v>290</v>
      </c>
      <c r="D25" s="3" t="s">
        <v>291</v>
      </c>
      <c r="E25" s="3" t="s">
        <v>158</v>
      </c>
      <c r="F25" s="6" t="s">
        <v>293</v>
      </c>
      <c r="G25" s="3" t="s">
        <v>45</v>
      </c>
      <c r="H25" s="3" t="s">
        <v>162</v>
      </c>
      <c r="I25" s="14"/>
    </row>
    <row r="26" ht="15.75" customHeight="1">
      <c r="A26" s="3" t="s">
        <v>295</v>
      </c>
      <c r="B26" s="3" t="s">
        <v>212</v>
      </c>
      <c r="C26" s="3" t="s">
        <v>297</v>
      </c>
      <c r="D26" s="3" t="s">
        <v>298</v>
      </c>
      <c r="E26" s="3" t="s">
        <v>300</v>
      </c>
      <c r="F26" s="6" t="s">
        <v>303</v>
      </c>
      <c r="G26" s="3" t="s">
        <v>45</v>
      </c>
      <c r="H26" s="3" t="s">
        <v>50</v>
      </c>
      <c r="I26" s="14"/>
    </row>
    <row r="27" ht="15.75" customHeight="1">
      <c r="A27" s="3" t="s">
        <v>307</v>
      </c>
      <c r="B27" s="3" t="s">
        <v>212</v>
      </c>
      <c r="C27" s="3" t="s">
        <v>308</v>
      </c>
      <c r="D27" s="3" t="s">
        <v>309</v>
      </c>
      <c r="E27" s="3" t="s">
        <v>158</v>
      </c>
      <c r="F27" s="6" t="s">
        <v>315</v>
      </c>
      <c r="G27" s="3" t="s">
        <v>45</v>
      </c>
      <c r="H27" s="3" t="s">
        <v>162</v>
      </c>
      <c r="I27" s="14"/>
    </row>
    <row r="28" ht="15.75" customHeight="1">
      <c r="A28" s="3" t="s">
        <v>316</v>
      </c>
      <c r="B28" s="3" t="s">
        <v>212</v>
      </c>
      <c r="C28" s="3" t="s">
        <v>319</v>
      </c>
      <c r="D28" s="3" t="s">
        <v>321</v>
      </c>
      <c r="E28" s="3" t="s">
        <v>158</v>
      </c>
      <c r="F28" s="6" t="s">
        <v>325</v>
      </c>
      <c r="G28" s="3" t="s">
        <v>45</v>
      </c>
      <c r="H28" s="3" t="s">
        <v>162</v>
      </c>
      <c r="I28" s="14"/>
    </row>
    <row r="29" ht="15.75" customHeight="1">
      <c r="A29" s="3" t="s">
        <v>327</v>
      </c>
      <c r="B29" s="3" t="s">
        <v>212</v>
      </c>
      <c r="C29" s="3" t="s">
        <v>330</v>
      </c>
      <c r="D29" s="3" t="s">
        <v>331</v>
      </c>
      <c r="E29" s="3" t="s">
        <v>158</v>
      </c>
      <c r="F29" s="6" t="s">
        <v>336</v>
      </c>
      <c r="G29" s="3" t="s">
        <v>45</v>
      </c>
      <c r="H29" s="3" t="s">
        <v>162</v>
      </c>
      <c r="I29" s="14"/>
    </row>
    <row r="30" ht="15.75" customHeight="1">
      <c r="A30" s="3" t="s">
        <v>339</v>
      </c>
      <c r="B30" s="3" t="s">
        <v>212</v>
      </c>
      <c r="C30" s="3" t="s">
        <v>342</v>
      </c>
      <c r="D30" s="3" t="s">
        <v>343</v>
      </c>
      <c r="E30" s="3" t="s">
        <v>345</v>
      </c>
      <c r="F30" s="6" t="s">
        <v>346</v>
      </c>
      <c r="G30" s="3" t="s">
        <v>45</v>
      </c>
      <c r="H30" s="3" t="s">
        <v>50</v>
      </c>
      <c r="I30" s="14"/>
    </row>
    <row r="31" ht="15.75" customHeight="1">
      <c r="A31" s="3" t="s">
        <v>349</v>
      </c>
      <c r="B31" s="3" t="s">
        <v>212</v>
      </c>
      <c r="C31" s="3" t="s">
        <v>352</v>
      </c>
      <c r="D31" s="3" t="s">
        <v>354</v>
      </c>
      <c r="E31" s="3" t="s">
        <v>356</v>
      </c>
      <c r="F31" s="6" t="s">
        <v>357</v>
      </c>
      <c r="G31" s="3" t="s">
        <v>45</v>
      </c>
      <c r="H31" s="3" t="s">
        <v>358</v>
      </c>
      <c r="I31" s="14"/>
    </row>
    <row r="32" ht="15.75" customHeight="1">
      <c r="A32" s="3" t="s">
        <v>363</v>
      </c>
      <c r="B32" s="3" t="s">
        <v>212</v>
      </c>
      <c r="C32" s="3" t="s">
        <v>365</v>
      </c>
      <c r="D32" s="3" t="s">
        <v>367</v>
      </c>
      <c r="E32" s="3" t="s">
        <v>78</v>
      </c>
      <c r="F32" s="6" t="s">
        <v>368</v>
      </c>
      <c r="G32" s="3" t="s">
        <v>45</v>
      </c>
      <c r="H32" s="3" t="s">
        <v>50</v>
      </c>
      <c r="I32" s="14"/>
    </row>
    <row r="33" ht="15.75" customHeight="1">
      <c r="A33" s="3" t="s">
        <v>371</v>
      </c>
      <c r="B33" s="3" t="s">
        <v>212</v>
      </c>
      <c r="C33" s="3" t="s">
        <v>372</v>
      </c>
      <c r="D33" s="3" t="s">
        <v>373</v>
      </c>
      <c r="E33" s="3" t="s">
        <v>376</v>
      </c>
      <c r="F33" s="6" t="s">
        <v>379</v>
      </c>
      <c r="G33" s="3" t="s">
        <v>45</v>
      </c>
      <c r="H33" s="3" t="s">
        <v>50</v>
      </c>
      <c r="I33" s="14"/>
    </row>
    <row r="34" ht="15.75" customHeight="1">
      <c r="A34" s="3" t="s">
        <v>380</v>
      </c>
      <c r="B34" s="3" t="s">
        <v>212</v>
      </c>
      <c r="C34" s="3" t="s">
        <v>381</v>
      </c>
      <c r="D34" s="3" t="s">
        <v>382</v>
      </c>
      <c r="E34" s="3" t="s">
        <v>78</v>
      </c>
      <c r="F34" s="6" t="s">
        <v>368</v>
      </c>
      <c r="G34" s="3" t="s">
        <v>45</v>
      </c>
      <c r="H34" s="3" t="s">
        <v>50</v>
      </c>
      <c r="I34" s="14"/>
    </row>
    <row r="35" ht="15.75" customHeight="1">
      <c r="A35" s="3" t="s">
        <v>385</v>
      </c>
      <c r="B35" s="3" t="s">
        <v>212</v>
      </c>
      <c r="C35" s="3" t="s">
        <v>388</v>
      </c>
      <c r="D35" s="3" t="s">
        <v>389</v>
      </c>
      <c r="E35" s="3" t="s">
        <v>390</v>
      </c>
      <c r="F35" s="6" t="s">
        <v>391</v>
      </c>
      <c r="G35" s="3" t="s">
        <v>45</v>
      </c>
      <c r="H35" s="3" t="s">
        <v>50</v>
      </c>
      <c r="I35" s="14"/>
    </row>
    <row r="36" ht="15.75" customHeight="1">
      <c r="A36" s="3" t="s">
        <v>393</v>
      </c>
      <c r="B36" s="3" t="s">
        <v>212</v>
      </c>
      <c r="C36" s="3" t="s">
        <v>395</v>
      </c>
      <c r="D36" s="3" t="s">
        <v>398</v>
      </c>
      <c r="E36" s="3" t="s">
        <v>400</v>
      </c>
      <c r="F36" s="6" t="s">
        <v>402</v>
      </c>
      <c r="G36" s="3" t="s">
        <v>45</v>
      </c>
      <c r="H36" s="3" t="s">
        <v>358</v>
      </c>
      <c r="I36" s="14"/>
    </row>
    <row r="37" ht="15.75" customHeight="1">
      <c r="A37" s="3" t="s">
        <v>405</v>
      </c>
      <c r="B37" s="3" t="s">
        <v>212</v>
      </c>
      <c r="C37" s="3" t="s">
        <v>409</v>
      </c>
      <c r="D37" s="3" t="s">
        <v>411</v>
      </c>
      <c r="E37" s="3" t="s">
        <v>78</v>
      </c>
      <c r="F37" s="6" t="s">
        <v>412</v>
      </c>
      <c r="G37" s="3" t="s">
        <v>45</v>
      </c>
      <c r="H37" s="3" t="s">
        <v>50</v>
      </c>
      <c r="I37" s="14"/>
    </row>
    <row r="38" ht="15.75" customHeight="1">
      <c r="A38" s="3" t="s">
        <v>415</v>
      </c>
      <c r="B38" s="3" t="s">
        <v>212</v>
      </c>
      <c r="C38" s="3" t="s">
        <v>418</v>
      </c>
      <c r="D38" s="3" t="s">
        <v>419</v>
      </c>
      <c r="E38" s="3" t="s">
        <v>158</v>
      </c>
      <c r="F38" s="6" t="s">
        <v>421</v>
      </c>
      <c r="G38" s="3" t="s">
        <v>45</v>
      </c>
      <c r="H38" s="3" t="s">
        <v>162</v>
      </c>
      <c r="I38" s="14"/>
    </row>
    <row r="39" ht="15.75" customHeight="1">
      <c r="A39" s="3" t="s">
        <v>426</v>
      </c>
      <c r="B39" s="3" t="s">
        <v>212</v>
      </c>
      <c r="C39" s="3" t="s">
        <v>428</v>
      </c>
      <c r="D39" s="3" t="s">
        <v>429</v>
      </c>
      <c r="E39" s="3" t="s">
        <v>158</v>
      </c>
      <c r="F39" s="6" t="s">
        <v>431</v>
      </c>
      <c r="G39" s="3" t="s">
        <v>45</v>
      </c>
      <c r="H39" s="3" t="s">
        <v>162</v>
      </c>
      <c r="I39" s="14"/>
    </row>
    <row r="40" ht="15.75" customHeight="1">
      <c r="A40" s="3" t="s">
        <v>435</v>
      </c>
      <c r="B40" s="3" t="s">
        <v>212</v>
      </c>
      <c r="C40" s="3" t="s">
        <v>436</v>
      </c>
      <c r="D40" s="3" t="s">
        <v>437</v>
      </c>
      <c r="E40" s="3" t="s">
        <v>438</v>
      </c>
      <c r="F40" s="6" t="s">
        <v>439</v>
      </c>
      <c r="G40" s="3" t="s">
        <v>45</v>
      </c>
      <c r="H40" s="3" t="s">
        <v>50</v>
      </c>
      <c r="I40" s="14"/>
    </row>
    <row r="41" ht="15.75" customHeight="1">
      <c r="A41" s="3" t="s">
        <v>441</v>
      </c>
      <c r="B41" s="3" t="s">
        <v>212</v>
      </c>
      <c r="C41" s="3" t="s">
        <v>446</v>
      </c>
      <c r="D41" s="3" t="s">
        <v>448</v>
      </c>
      <c r="E41" s="3" t="s">
        <v>158</v>
      </c>
      <c r="F41" s="6" t="s">
        <v>451</v>
      </c>
      <c r="G41" s="3" t="s">
        <v>45</v>
      </c>
      <c r="H41" s="3" t="s">
        <v>162</v>
      </c>
      <c r="I41" s="14"/>
    </row>
    <row r="42" ht="15.75" customHeight="1">
      <c r="A42" s="3" t="s">
        <v>454</v>
      </c>
      <c r="B42" s="3" t="s">
        <v>212</v>
      </c>
      <c r="C42" s="3" t="s">
        <v>455</v>
      </c>
      <c r="D42" s="3" t="s">
        <v>456</v>
      </c>
      <c r="E42" s="3" t="s">
        <v>457</v>
      </c>
      <c r="F42" s="6" t="s">
        <v>458</v>
      </c>
      <c r="G42" s="3" t="s">
        <v>45</v>
      </c>
      <c r="H42" s="3"/>
      <c r="I42" s="14"/>
    </row>
    <row r="43" ht="15.75" customHeight="1">
      <c r="A43" s="3" t="s">
        <v>462</v>
      </c>
      <c r="B43" s="3" t="s">
        <v>212</v>
      </c>
      <c r="C43" s="3" t="s">
        <v>463</v>
      </c>
      <c r="D43" s="3" t="s">
        <v>464</v>
      </c>
      <c r="E43" s="3" t="s">
        <v>465</v>
      </c>
      <c r="F43" s="6" t="s">
        <v>466</v>
      </c>
      <c r="G43" s="3" t="s">
        <v>45</v>
      </c>
      <c r="H43" s="3"/>
      <c r="I43" s="14"/>
    </row>
    <row r="44" ht="15.75" customHeight="1">
      <c r="A44" s="3" t="s">
        <v>467</v>
      </c>
      <c r="B44" s="3" t="s">
        <v>212</v>
      </c>
      <c r="C44" s="3" t="s">
        <v>469</v>
      </c>
      <c r="D44" s="3" t="s">
        <v>471</v>
      </c>
      <c r="E44" s="3" t="s">
        <v>473</v>
      </c>
      <c r="F44" s="6" t="s">
        <v>476</v>
      </c>
      <c r="G44" s="3" t="s">
        <v>45</v>
      </c>
      <c r="H44" s="3" t="s">
        <v>358</v>
      </c>
      <c r="I44" s="14"/>
    </row>
    <row r="45" ht="15.75" customHeight="1">
      <c r="A45" s="3" t="s">
        <v>478</v>
      </c>
      <c r="B45" s="3" t="s">
        <v>212</v>
      </c>
      <c r="C45" s="3" t="s">
        <v>479</v>
      </c>
      <c r="D45" s="3" t="s">
        <v>481</v>
      </c>
      <c r="E45" s="3" t="s">
        <v>158</v>
      </c>
      <c r="F45" s="6" t="s">
        <v>487</v>
      </c>
      <c r="G45" s="3" t="s">
        <v>45</v>
      </c>
      <c r="H45" s="3" t="s">
        <v>162</v>
      </c>
      <c r="I45" s="14"/>
    </row>
    <row r="46" ht="15.75" customHeight="1">
      <c r="A46" s="3" t="s">
        <v>490</v>
      </c>
      <c r="B46" s="3" t="s">
        <v>212</v>
      </c>
      <c r="C46" s="3" t="s">
        <v>493</v>
      </c>
      <c r="D46" s="3" t="s">
        <v>494</v>
      </c>
      <c r="E46" s="3" t="s">
        <v>497</v>
      </c>
      <c r="F46" s="6" t="s">
        <v>499</v>
      </c>
      <c r="G46" s="3" t="s">
        <v>45</v>
      </c>
      <c r="H46" s="3"/>
      <c r="I46" s="14"/>
    </row>
    <row r="47" ht="15.75" customHeight="1">
      <c r="A47" s="3" t="s">
        <v>502</v>
      </c>
      <c r="B47" s="3" t="s">
        <v>212</v>
      </c>
      <c r="C47" s="3" t="s">
        <v>503</v>
      </c>
      <c r="D47" s="3" t="s">
        <v>504</v>
      </c>
      <c r="E47" s="3" t="s">
        <v>158</v>
      </c>
      <c r="F47" s="6" t="s">
        <v>511</v>
      </c>
      <c r="G47" s="3" t="s">
        <v>45</v>
      </c>
      <c r="H47" s="3" t="s">
        <v>162</v>
      </c>
      <c r="I47" s="14"/>
    </row>
    <row r="48" ht="15.75" customHeight="1">
      <c r="A48" s="3" t="s">
        <v>513</v>
      </c>
      <c r="B48" s="3" t="s">
        <v>445</v>
      </c>
      <c r="C48" s="3" t="s">
        <v>514</v>
      </c>
      <c r="D48" s="3" t="s">
        <v>515</v>
      </c>
      <c r="E48" s="3" t="s">
        <v>158</v>
      </c>
      <c r="F48" s="6" t="s">
        <v>520</v>
      </c>
      <c r="G48" s="3" t="s">
        <v>45</v>
      </c>
      <c r="H48" s="3" t="s">
        <v>162</v>
      </c>
      <c r="I48" s="14"/>
    </row>
    <row r="49" ht="15.75" customHeight="1">
      <c r="A49" s="3" t="s">
        <v>521</v>
      </c>
      <c r="B49" s="3" t="s">
        <v>445</v>
      </c>
      <c r="C49" s="3" t="s">
        <v>522</v>
      </c>
      <c r="D49" s="3" t="s">
        <v>523</v>
      </c>
      <c r="E49" s="3" t="s">
        <v>525</v>
      </c>
      <c r="F49" s="6" t="s">
        <v>526</v>
      </c>
      <c r="G49" s="3" t="s">
        <v>45</v>
      </c>
      <c r="H49" s="3"/>
      <c r="I49" s="14"/>
    </row>
    <row r="50" ht="15.75" customHeight="1">
      <c r="A50" s="3" t="s">
        <v>530</v>
      </c>
      <c r="B50" s="3" t="s">
        <v>445</v>
      </c>
      <c r="C50" s="3" t="s">
        <v>532</v>
      </c>
      <c r="D50" s="3" t="s">
        <v>533</v>
      </c>
      <c r="E50" s="3" t="s">
        <v>534</v>
      </c>
      <c r="F50" s="6" t="s">
        <v>536</v>
      </c>
      <c r="G50" s="3" t="s">
        <v>45</v>
      </c>
      <c r="H50" s="3"/>
      <c r="I50" s="14"/>
    </row>
    <row r="51" ht="15.75" customHeight="1">
      <c r="A51" s="3" t="s">
        <v>537</v>
      </c>
      <c r="B51" s="3" t="s">
        <v>445</v>
      </c>
      <c r="C51" s="3" t="s">
        <v>538</v>
      </c>
      <c r="D51" s="3" t="s">
        <v>539</v>
      </c>
      <c r="E51" s="3" t="s">
        <v>540</v>
      </c>
      <c r="F51" s="6" t="s">
        <v>541</v>
      </c>
      <c r="G51" s="3" t="s">
        <v>45</v>
      </c>
      <c r="H51" s="3"/>
      <c r="I51" s="14"/>
    </row>
    <row r="52" ht="15.75" customHeight="1">
      <c r="A52" s="3" t="s">
        <v>542</v>
      </c>
      <c r="B52" s="3" t="s">
        <v>445</v>
      </c>
      <c r="C52" s="3" t="s">
        <v>244</v>
      </c>
      <c r="D52" s="3" t="s">
        <v>544</v>
      </c>
      <c r="E52" s="3" t="s">
        <v>158</v>
      </c>
      <c r="F52" s="6" t="s">
        <v>548</v>
      </c>
      <c r="G52" s="3" t="s">
        <v>45</v>
      </c>
      <c r="H52" s="3" t="s">
        <v>162</v>
      </c>
      <c r="I52" s="14"/>
    </row>
    <row r="53" ht="15.75" customHeight="1">
      <c r="A53" s="3" t="s">
        <v>551</v>
      </c>
      <c r="B53" s="3" t="s">
        <v>445</v>
      </c>
      <c r="C53" s="3" t="s">
        <v>552</v>
      </c>
      <c r="D53" s="3" t="s">
        <v>553</v>
      </c>
      <c r="E53" s="3" t="s">
        <v>554</v>
      </c>
      <c r="F53" s="6" t="s">
        <v>555</v>
      </c>
      <c r="G53" s="3" t="s">
        <v>45</v>
      </c>
      <c r="H53" s="3"/>
      <c r="I53" s="14"/>
    </row>
    <row r="54" ht="15.75" customHeight="1">
      <c r="A54" s="3" t="s">
        <v>557</v>
      </c>
      <c r="B54" s="3" t="s">
        <v>445</v>
      </c>
      <c r="C54" s="3" t="s">
        <v>350</v>
      </c>
      <c r="D54" s="3" t="s">
        <v>560</v>
      </c>
      <c r="E54" s="3" t="s">
        <v>561</v>
      </c>
      <c r="F54" s="6" t="s">
        <v>562</v>
      </c>
      <c r="G54" s="3" t="s">
        <v>45</v>
      </c>
      <c r="H54" s="3"/>
      <c r="I54" s="14"/>
    </row>
    <row r="55" ht="15.75" customHeight="1">
      <c r="A55" s="3" t="s">
        <v>563</v>
      </c>
      <c r="B55" s="3" t="s">
        <v>445</v>
      </c>
      <c r="C55" s="3" t="s">
        <v>564</v>
      </c>
      <c r="D55" s="3" t="s">
        <v>565</v>
      </c>
      <c r="E55" s="3" t="s">
        <v>158</v>
      </c>
      <c r="F55" s="6" t="s">
        <v>569</v>
      </c>
      <c r="G55" s="3" t="s">
        <v>45</v>
      </c>
      <c r="H55" s="3" t="s">
        <v>162</v>
      </c>
      <c r="I55" s="14"/>
    </row>
    <row r="56" ht="15.75" customHeight="1">
      <c r="A56" s="3" t="s">
        <v>570</v>
      </c>
      <c r="B56" s="3" t="s">
        <v>445</v>
      </c>
      <c r="C56" s="3" t="s">
        <v>572</v>
      </c>
      <c r="D56" s="3" t="s">
        <v>573</v>
      </c>
      <c r="E56" s="3" t="s">
        <v>574</v>
      </c>
      <c r="F56" s="6" t="s">
        <v>575</v>
      </c>
      <c r="G56" s="3" t="s">
        <v>45</v>
      </c>
      <c r="H56" s="3"/>
      <c r="I56" s="14"/>
    </row>
    <row r="57" ht="15.75" customHeight="1">
      <c r="A57" s="3" t="s">
        <v>577</v>
      </c>
      <c r="B57" s="3" t="s">
        <v>445</v>
      </c>
      <c r="C57" s="3" t="s">
        <v>579</v>
      </c>
      <c r="D57" s="3" t="s">
        <v>581</v>
      </c>
      <c r="E57" s="3" t="s">
        <v>158</v>
      </c>
      <c r="F57" s="6" t="s">
        <v>586</v>
      </c>
      <c r="G57" s="3" t="s">
        <v>45</v>
      </c>
      <c r="H57" s="3" t="s">
        <v>162</v>
      </c>
      <c r="I57" s="14"/>
    </row>
    <row r="58" ht="15.75" customHeight="1">
      <c r="A58" s="3" t="s">
        <v>587</v>
      </c>
      <c r="B58" s="3" t="s">
        <v>445</v>
      </c>
      <c r="C58" s="3" t="s">
        <v>588</v>
      </c>
      <c r="D58" s="3" t="s">
        <v>589</v>
      </c>
      <c r="E58" s="3" t="s">
        <v>158</v>
      </c>
      <c r="F58" s="6" t="s">
        <v>594</v>
      </c>
      <c r="G58" s="3" t="s">
        <v>45</v>
      </c>
      <c r="H58" s="3" t="s">
        <v>162</v>
      </c>
      <c r="I58" s="14"/>
    </row>
    <row r="59" ht="15.75" customHeight="1">
      <c r="A59" s="3" t="s">
        <v>596</v>
      </c>
      <c r="B59" s="3" t="s">
        <v>445</v>
      </c>
      <c r="C59" s="3" t="s">
        <v>597</v>
      </c>
      <c r="D59" s="3" t="s">
        <v>598</v>
      </c>
      <c r="E59" s="3" t="s">
        <v>158</v>
      </c>
      <c r="F59" s="6" t="s">
        <v>600</v>
      </c>
      <c r="G59" s="3" t="s">
        <v>45</v>
      </c>
      <c r="H59" s="3" t="s">
        <v>162</v>
      </c>
      <c r="I59" s="14"/>
    </row>
    <row r="60" ht="15.75" customHeight="1">
      <c r="A60" s="3" t="s">
        <v>604</v>
      </c>
      <c r="B60" s="3" t="s">
        <v>445</v>
      </c>
      <c r="C60" s="3" t="s">
        <v>605</v>
      </c>
      <c r="D60" s="3" t="s">
        <v>606</v>
      </c>
      <c r="E60" s="3" t="s">
        <v>158</v>
      </c>
      <c r="F60" s="6" t="s">
        <v>607</v>
      </c>
      <c r="G60" s="3" t="s">
        <v>45</v>
      </c>
      <c r="H60" s="3" t="s">
        <v>162</v>
      </c>
      <c r="I60" s="14"/>
    </row>
    <row r="61" ht="15.75" customHeight="1">
      <c r="A61" s="3" t="s">
        <v>610</v>
      </c>
      <c r="B61" s="3" t="s">
        <v>582</v>
      </c>
      <c r="C61" s="3" t="s">
        <v>612</v>
      </c>
      <c r="D61" s="3" t="s">
        <v>613</v>
      </c>
      <c r="E61" s="3" t="s">
        <v>614</v>
      </c>
      <c r="F61" s="6" t="s">
        <v>615</v>
      </c>
      <c r="G61" s="3" t="s">
        <v>45</v>
      </c>
      <c r="H61" s="3" t="s">
        <v>616</v>
      </c>
      <c r="I61" s="14"/>
    </row>
    <row r="62" ht="15.75" customHeight="1">
      <c r="A62" s="3" t="s">
        <v>618</v>
      </c>
      <c r="B62" s="3" t="s">
        <v>582</v>
      </c>
      <c r="C62" s="3" t="s">
        <v>621</v>
      </c>
      <c r="D62" s="3" t="s">
        <v>622</v>
      </c>
      <c r="E62" s="3" t="s">
        <v>158</v>
      </c>
      <c r="F62" s="6" t="s">
        <v>624</v>
      </c>
      <c r="G62" s="3" t="s">
        <v>45</v>
      </c>
      <c r="H62" s="3" t="s">
        <v>162</v>
      </c>
      <c r="I62" s="14"/>
    </row>
    <row r="63" ht="15.75" customHeight="1">
      <c r="A63" s="3" t="s">
        <v>625</v>
      </c>
      <c r="B63" s="3" t="s">
        <v>582</v>
      </c>
      <c r="C63" s="3" t="s">
        <v>626</v>
      </c>
      <c r="D63" s="3" t="s">
        <v>628</v>
      </c>
      <c r="E63" s="3" t="s">
        <v>525</v>
      </c>
      <c r="F63" s="6" t="s">
        <v>526</v>
      </c>
      <c r="G63" s="3" t="s">
        <v>45</v>
      </c>
      <c r="H63" s="3"/>
      <c r="I63" s="14"/>
    </row>
    <row r="64" ht="15.75" customHeight="1">
      <c r="A64" s="3" t="s">
        <v>632</v>
      </c>
      <c r="B64" s="3" t="s">
        <v>582</v>
      </c>
      <c r="C64" s="3" t="s">
        <v>224</v>
      </c>
      <c r="D64" s="3" t="s">
        <v>633</v>
      </c>
      <c r="E64" s="3" t="s">
        <v>534</v>
      </c>
      <c r="F64" s="6" t="s">
        <v>536</v>
      </c>
      <c r="G64" s="3" t="s">
        <v>45</v>
      </c>
      <c r="H64" s="3"/>
      <c r="I64" s="14"/>
    </row>
    <row r="65" ht="15.75" customHeight="1">
      <c r="A65" s="3" t="s">
        <v>638</v>
      </c>
      <c r="B65" s="3" t="s">
        <v>582</v>
      </c>
      <c r="C65" s="3" t="s">
        <v>639</v>
      </c>
      <c r="D65" s="3" t="s">
        <v>640</v>
      </c>
      <c r="E65" s="3" t="s">
        <v>540</v>
      </c>
      <c r="F65" s="6" t="s">
        <v>541</v>
      </c>
      <c r="G65" s="3" t="s">
        <v>45</v>
      </c>
      <c r="H65" s="3"/>
      <c r="I65" s="14"/>
    </row>
    <row r="66" ht="15.75" customHeight="1">
      <c r="A66" s="3" t="s">
        <v>641</v>
      </c>
      <c r="B66" s="3" t="s">
        <v>582</v>
      </c>
      <c r="C66" s="3" t="s">
        <v>642</v>
      </c>
      <c r="D66" s="3" t="s">
        <v>644</v>
      </c>
      <c r="E66" s="3" t="s">
        <v>158</v>
      </c>
      <c r="F66" s="6" t="s">
        <v>647</v>
      </c>
      <c r="G66" s="3" t="s">
        <v>45</v>
      </c>
      <c r="H66" s="3" t="s">
        <v>162</v>
      </c>
      <c r="I66" s="14"/>
    </row>
    <row r="67" ht="15.75" customHeight="1">
      <c r="A67" s="3" t="s">
        <v>649</v>
      </c>
      <c r="B67" s="3" t="s">
        <v>582</v>
      </c>
      <c r="C67" s="3" t="s">
        <v>650</v>
      </c>
      <c r="D67" s="3" t="s">
        <v>651</v>
      </c>
      <c r="E67" s="3" t="s">
        <v>554</v>
      </c>
      <c r="F67" s="6" t="s">
        <v>654</v>
      </c>
      <c r="G67" s="3" t="s">
        <v>45</v>
      </c>
      <c r="H67" s="3"/>
      <c r="I67" s="14"/>
    </row>
    <row r="68" ht="15.75" customHeight="1">
      <c r="A68" s="3" t="s">
        <v>658</v>
      </c>
      <c r="B68" s="3" t="s">
        <v>582</v>
      </c>
      <c r="C68" s="3" t="s">
        <v>660</v>
      </c>
      <c r="D68" s="3" t="s">
        <v>661</v>
      </c>
      <c r="E68" s="3" t="s">
        <v>662</v>
      </c>
      <c r="F68" s="6" t="s">
        <v>663</v>
      </c>
      <c r="G68" s="3" t="s">
        <v>45</v>
      </c>
      <c r="H68" s="3" t="s">
        <v>50</v>
      </c>
      <c r="I68" s="14"/>
    </row>
    <row r="69" ht="15.75" customHeight="1">
      <c r="A69" s="3" t="s">
        <v>668</v>
      </c>
      <c r="B69" s="3" t="s">
        <v>582</v>
      </c>
      <c r="C69" s="3" t="s">
        <v>669</v>
      </c>
      <c r="D69" s="3" t="s">
        <v>670</v>
      </c>
      <c r="E69" s="3" t="s">
        <v>158</v>
      </c>
      <c r="F69" s="6" t="s">
        <v>671</v>
      </c>
      <c r="G69" s="3" t="s">
        <v>45</v>
      </c>
      <c r="H69" s="3" t="s">
        <v>162</v>
      </c>
      <c r="I69" s="14"/>
    </row>
    <row r="70" ht="15.75" customHeight="1">
      <c r="A70" s="3" t="s">
        <v>676</v>
      </c>
      <c r="B70" s="3" t="s">
        <v>582</v>
      </c>
      <c r="C70" s="3" t="s">
        <v>678</v>
      </c>
      <c r="D70" s="3" t="s">
        <v>679</v>
      </c>
      <c r="E70" s="3" t="s">
        <v>680</v>
      </c>
      <c r="F70" s="6" t="s">
        <v>681</v>
      </c>
      <c r="G70" s="3" t="s">
        <v>45</v>
      </c>
      <c r="H70" s="3"/>
      <c r="I70" s="14"/>
    </row>
    <row r="71" ht="15.75" customHeight="1">
      <c r="A71" s="3" t="s">
        <v>686</v>
      </c>
      <c r="B71" s="3" t="s">
        <v>582</v>
      </c>
      <c r="C71" s="3" t="s">
        <v>687</v>
      </c>
      <c r="D71" s="3" t="s">
        <v>688</v>
      </c>
      <c r="E71" s="3" t="s">
        <v>689</v>
      </c>
      <c r="F71" s="6" t="s">
        <v>690</v>
      </c>
      <c r="G71" s="3" t="s">
        <v>45</v>
      </c>
      <c r="H71" s="3"/>
      <c r="I71" s="14"/>
    </row>
    <row r="72" ht="15.75" customHeight="1">
      <c r="A72" s="3" t="s">
        <v>696</v>
      </c>
      <c r="B72" s="3" t="s">
        <v>582</v>
      </c>
      <c r="C72" s="3" t="s">
        <v>698</v>
      </c>
      <c r="D72" s="3" t="s">
        <v>700</v>
      </c>
      <c r="E72" s="3" t="s">
        <v>158</v>
      </c>
      <c r="F72" s="6" t="s">
        <v>704</v>
      </c>
      <c r="G72" s="3" t="s">
        <v>45</v>
      </c>
      <c r="H72" s="3" t="s">
        <v>162</v>
      </c>
      <c r="I72" s="14"/>
    </row>
    <row r="73" ht="15.75" customHeight="1">
      <c r="A73" s="3" t="s">
        <v>710</v>
      </c>
      <c r="B73" s="3" t="s">
        <v>582</v>
      </c>
      <c r="C73" s="3" t="s">
        <v>711</v>
      </c>
      <c r="D73" s="3" t="s">
        <v>712</v>
      </c>
      <c r="E73" s="3" t="s">
        <v>158</v>
      </c>
      <c r="F73" s="6" t="s">
        <v>717</v>
      </c>
      <c r="G73" s="3" t="s">
        <v>45</v>
      </c>
      <c r="H73" s="3" t="s">
        <v>162</v>
      </c>
      <c r="I73" s="14"/>
    </row>
    <row r="74" ht="15.75" customHeight="1">
      <c r="A74" s="3" t="s">
        <v>720</v>
      </c>
      <c r="B74" s="3" t="s">
        <v>582</v>
      </c>
      <c r="C74" s="3" t="s">
        <v>721</v>
      </c>
      <c r="D74" s="3" t="s">
        <v>722</v>
      </c>
      <c r="E74" s="3" t="s">
        <v>158</v>
      </c>
      <c r="F74" s="6" t="s">
        <v>727</v>
      </c>
      <c r="G74" s="3" t="s">
        <v>45</v>
      </c>
      <c r="H74" s="3" t="s">
        <v>162</v>
      </c>
      <c r="I74" s="14"/>
    </row>
    <row r="75" ht="15.75" customHeight="1">
      <c r="A75" s="3" t="s">
        <v>733</v>
      </c>
      <c r="B75" s="3" t="s">
        <v>582</v>
      </c>
      <c r="C75" s="3" t="s">
        <v>735</v>
      </c>
      <c r="D75" s="3" t="s">
        <v>737</v>
      </c>
      <c r="E75" s="3" t="s">
        <v>158</v>
      </c>
      <c r="F75" s="6" t="s">
        <v>740</v>
      </c>
      <c r="G75" s="3" t="s">
        <v>45</v>
      </c>
      <c r="H75" s="3" t="s">
        <v>162</v>
      </c>
      <c r="I75" s="14"/>
    </row>
    <row r="76" ht="15.75" customHeight="1">
      <c r="A76" s="3" t="s">
        <v>741</v>
      </c>
      <c r="B76" s="3" t="s">
        <v>582</v>
      </c>
      <c r="C76" s="3" t="s">
        <v>742</v>
      </c>
      <c r="D76" s="3" t="s">
        <v>743</v>
      </c>
      <c r="E76" s="3" t="s">
        <v>745</v>
      </c>
      <c r="F76" s="6" t="s">
        <v>747</v>
      </c>
      <c r="G76" s="3" t="s">
        <v>45</v>
      </c>
      <c r="H76" s="3"/>
      <c r="I76" s="14"/>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76"/>
  <dataValidations>
    <dataValidation type="list" allowBlank="1" sqref="I2:I76">
      <formula1>"Manter descartado,Reincluir"</formula1>
    </dataValidation>
  </dataValidations>
  <printOptions/>
  <pageMargins bottom="1.0" footer="0.0" header="0.0" left="0.75" right="0.75" top="1.0"/>
  <pageSetup paperSize="9" orientation="portrait"/>
  <drawing r:id="rId1"/>
</worksheet>
</file>