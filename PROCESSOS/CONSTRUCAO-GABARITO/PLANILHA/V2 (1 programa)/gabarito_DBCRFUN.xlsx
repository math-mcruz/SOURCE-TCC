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genda" sheetId="1" state="visible" r:id="rId3"/>
    <sheet name="Resumo" sheetId="2" state="visible" r:id="rId4"/>
    <sheet name="Candidatos" sheetId="3" state="visible" r:id="rId5"/>
    <sheet name="Descartados" sheetId="4" state="visible" r:id="rId6"/>
  </sheets>
  <definedNames>
    <definedName function="false" hidden="true" localSheetId="2" name="_xlnm._FilterDatabase" vbProcedure="false">Candidatos!$A$1:$M$19</definedName>
    <definedName function="false" hidden="true" localSheetId="3" name="_xlnm._FilterDatabase" vbProcedure="false">Descartados!$A$1:$I$16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<sst xmlns="http://schemas.openxmlformats.org/spreadsheetml/2006/main" count="315" uniqueCount="217">
  <si>
    <t xml:space="preserve">Gabarito (ground-truth): pares candidatos de comentário e código</t>
  </si>
  <si>
    <t xml:space="preserve">Origem</t>
  </si>
  <si>
    <t xml:space="preserve">Programas da CBSA na pasta ORIGINAL do repositório da base de dados (commit e22475691524ef72a92ee77f7040233e098ab1b9, ijmitch/cics-banking-sample-application-cbsa). Números de linha referem-se aos arquivos do ORIGINAL.</t>
  </si>
  <si>
    <t xml:space="preserve">Como foi gerado</t>
  </si>
  <si>
    <t xml:space="preserve">Extração automática (script extrair_pares_gabarito.py). Cada bloco de comentário da PROCEDURE DIVISION é pareado ao código que o segue, até o próximo comentário (limite de 30 linhas por trecho).</t>
  </si>
  <si>
    <t xml:space="preserve">Filtro (E4, seção 1.3)</t>
  </si>
  <si>
    <t xml:space="preserve">Retido: trecho com IF, EVALUATE ou WHEN, ou com tratamento de falha (ABEND, SQLCODE, HANDLE, DFHRESP, EIBRESP, EIBRCODE). Os demais ficam na aba Descartados, para que o critério seja auditável.</t>
  </si>
  <si>
    <t xml:space="preserve">O que preencher</t>
  </si>
  <si>
    <t xml:space="preserve">Aba Candidatos, colunas J a M (fundo amarelo): Revisão discente, Revisão orientador, Regra atômica (redação final) e Observações. Na aba Descartados, coluna I.</t>
  </si>
  <si>
    <t xml:space="preserve">Valores da revisão</t>
  </si>
  <si>
    <t xml:space="preserve">Manter, Descartar ou Ajustar (lista suspensa). Em Descartados: Manter descartado ou Reincluir.</t>
  </si>
  <si>
    <t xml:space="preserve">Alertas</t>
  </si>
  <si>
    <t xml:space="preserve">possível código desativado: o comentário parece uma instrução COBOL comentada. comentário curto: até 3 palavras. trecho truncado: o código do par passa do limite de linhas; conferir o restante no fonte. comentários adjacentes fundidos: o bloco seguinte de comentário foi unido porque o trecho entre eles não tinha código ativo. comentário menciona condição (aba Descartados): o comentário descreve uma condição, mas o trecho seguinte é só ação; a decisão pode estar antes no fonte.</t>
  </si>
  <si>
    <t xml:space="preserve">Limitações</t>
  </si>
  <si>
    <t xml:space="preserve">A triagem é heurística e não substitui a revisão dupla. Comentários de cabeçalho (antes da PROCEDURE DIVISION) não entram. Linhas de depuração (indicador D) aparecem com o prefixo [D]. O tipo (Decisão, Falha, Decisão e falha) é atribuído ao trecho inteiro, não ao comentário isolado.</t>
  </si>
  <si>
    <t xml:space="preserve">Exemplo de regra atômica</t>
  </si>
  <si>
    <t xml:space="preserve">Ilustrativo, não faz parte do gabarito: "Se o valor solicitado for um débito e o saldo disponível for insuficiente, a solicitação é negada." (uma condição e uma consequência por regra)</t>
  </si>
  <si>
    <t xml:space="preserve">Programa</t>
  </si>
  <si>
    <t xml:space="preserve">Blocos com texto</t>
  </si>
  <si>
    <t xml:space="preserve">Candidatos retidos</t>
  </si>
  <si>
    <t xml:space="preserve">Descartados</t>
  </si>
  <si>
    <t xml:space="preserve">Decisão</t>
  </si>
  <si>
    <t xml:space="preserve">Falha</t>
  </si>
  <si>
    <t xml:space="preserve">Decisão e falha</t>
  </si>
  <si>
    <t xml:space="preserve">Com alertas</t>
  </si>
  <si>
    <t xml:space="preserve">Manter (discente)</t>
  </si>
  <si>
    <t xml:space="preserve">Descartar (discente)</t>
  </si>
  <si>
    <t xml:space="preserve">Ajustar (discente)</t>
  </si>
  <si>
    <t xml:space="preserve">Pendentes (discente)</t>
  </si>
  <si>
    <t xml:space="preserve">DBCRFUN</t>
  </si>
  <si>
    <t xml:space="preserve">TOTAL</t>
  </si>
  <si>
    <t xml:space="preserve">Contagens por fórmula: atualizam conforme a revisão é preenchida na aba Candidatos.</t>
  </si>
  <si>
    <t xml:space="preserve">ID</t>
  </si>
  <si>
    <t xml:space="preserve">Linhas do comentário</t>
  </si>
  <si>
    <t xml:space="preserve">Linhas do código</t>
  </si>
  <si>
    <t xml:space="preserve">Comentário</t>
  </si>
  <si>
    <t xml:space="preserve">Trecho de código</t>
  </si>
  <si>
    <t xml:space="preserve">Tipo</t>
  </si>
  <si>
    <t xml:space="preserve">Estruturas</t>
  </si>
  <si>
    <t xml:space="preserve">Revisão discente</t>
  </si>
  <si>
    <t xml:space="preserve">Revisão orientador</t>
  </si>
  <si>
    <t xml:space="preserve">Regra atômica (redação final)</t>
  </si>
  <si>
    <t xml:space="preserve">Observações</t>
  </si>
  <si>
    <t xml:space="preserve">DBCRFUN-001</t>
  </si>
  <si>
    <t xml:space="preserve">205</t>
  </si>
  <si>
    <t xml:space="preserve">207-212</t>
  </si>
  <si>
    <t xml:space="preserve">Set up some Abend handling</t>
  </si>
  <si>
    <t xml:space="preserve">    EXEC CICS HANDLE ABEND
       LABEL(ABEND-HANDLING)
    END-EXEC.
    MOVE SORTCODE TO COMM-SORTC.
    MOVE SORTCODE TO DESIRED-SORT-CODE.</t>
  </si>
  <si>
    <t xml:space="preserve">falha</t>
  </si>
  <si>
    <t xml:space="preserve">DBCRFUN-005</t>
  </si>
  <si>
    <t xml:space="preserve">276-277</t>
  </si>
  <si>
    <t xml:space="preserve">279-287</t>
  </si>
  <si>
    <t xml:space="preserve">Check that select was successful. If it wasn't then deal with it</t>
  </si>
  <si>
    <t xml:space="preserve">    IF SQLCODE NOT = 0
       MOVE 'N' TO COMM-SUCCESS
       IF SQLCODE = +100
          MOVE '1' TO COMM-FAIL-CODE
       ELSE
          MOVE '2' TO COMM-FAIL-CODE
       END-IF</t>
  </si>
  <si>
    <t xml:space="preserve">IF, falha</t>
  </si>
  <si>
    <t xml:space="preserve">DBCRFUN-007</t>
  </si>
  <si>
    <t xml:space="preserve">301-304</t>
  </si>
  <si>
    <t xml:space="preserve">307</t>
  </si>
  <si>
    <t xml:space="preserve">Is the amount being requested a debit or a credit? If it is a CREDIT (+) then we don't need to ensure that the available balance has sufficient funds, because this is money coming in.</t>
  </si>
  <si>
    <t xml:space="preserve">    IF COMM-AMT &lt; 0</t>
  </si>
  <si>
    <t xml:space="preserve">IF</t>
  </si>
  <si>
    <t xml:space="preserve">DBCRFUN-008</t>
  </si>
  <si>
    <t xml:space="preserve">309-328</t>
  </si>
  <si>
    <t xml:space="preserve">316-352</t>
  </si>
  <si>
    <t xml:space="preserve">The amount being requested is a DEBIT/Payment (-) so we do need to check that the available balance is sufficient to cover the amount being asked for. If there are NOT sufficient funds the request is denied so remove the record LOCK and and finish. Check to see whether the Payment is being requested from a MORTGAGE or LOAN account. We only make this check for PAYMENTs (we don't make this check for requests via the Teller). How do we know it is a PAYMENT as opposed to a Teller, this is determined by the COMM-FACILTYPE(496 = NONE) If it is a PAYMENT being requested from a MORTGAGE or LOAN account then set an appropriate fail code (4) and finish up.</t>
  </si>
  <si>
    <t xml:space="preserve">[D]        DISPLAY 'COMM-AMT IS negative'
       IF (HV-ACCOUNT-ACC-TYPE = 'MORTGAGE'
       AND COMM-FACILTYPE = 496)
       OR (HV-ACCOUNT-ACC-TYPE = 'LOAN    '
       AND COMM-FACILTYPE = 496)
          MOVE 'N' TO COMM-SUCCESS
          MOVE '4' TO COMM-FAIL-CODE
          GO TO UAD999
       END-IF
       MOVE 0 TO WS-DIFFERENCE
       COMPUTE WS-DIFFERENCE = HV-ACCOUNT-AVAIL-BAL
          + COMM-AMT
       IF WS-DIFFERENCE &lt; 0 AND COMM-FACILTYPE = 496
[D]           DISPLAY 'insufficient funds!'
          MOVE 'N' TO COMM-SUCCESS
          MOVE '3' TO COMM-FAIL-CODE
          GO TO UAD999
       END-IF
    END-IF.</t>
  </si>
  <si>
    <t xml:space="preserve">comentários adjacentes fundidos</t>
  </si>
  <si>
    <t xml:space="preserve">DBCRFUN-009</t>
  </si>
  <si>
    <t xml:space="preserve">356-366</t>
  </si>
  <si>
    <t xml:space="preserve">368-376</t>
  </si>
  <si>
    <t xml:space="preserve">Check to see whether a Credit is being requested from a MORTGAGE or LOAN account. We only make this check for requests via the PAYMENT link (we don't make this check for requests via the Teller). How do we know it is a PAYMENT as opposed to a Teller, this is determined by the COMM-FACILTYPE(496 = NONE) If it is a PAYMENT credit being requested from a MORTGAGE or LOAN account then set an appropriate fail code (4), remove the record lock and finish up.</t>
  </si>
  <si>
    <t xml:space="preserve">    IF (HV-ACCOUNT-ACC-TYPE = 'MORTGAGE' AND
    COMM-FACILTYPE = 496)
    OR (HV-ACCOUNT-ACC-TYPE = 'LOAN    '
    AND COMM-FACILTYPE = 496)
       MOVE 'N' TO COMM-SUCCESS
       MOVE '4' TO COMM-FAIL-CODE
       GO TO UAD999
    END-IF.</t>
  </si>
  <si>
    <t xml:space="preserve">DBCRFUN-012</t>
  </si>
  <si>
    <t xml:space="preserve">411-412</t>
  </si>
  <si>
    <t xml:space="preserve">414-419</t>
  </si>
  <si>
    <t xml:space="preserve">If the rewrite was successful then we need to pass back the amended available balance and actual balance.</t>
  </si>
  <si>
    <t xml:space="preserve">    MOVE SQLCODE TO SQLCODE-DISPLAY.
    MOVE HV-ACCOUNT-AVAIL-BAL TO
       COMM-AV-BAL.
    MOVE HV-ACCOUNT-ACTUAL-BAL TO
       COMM-ACT-BAL.</t>
  </si>
  <si>
    <t xml:space="preserve">DBCRFUN-013</t>
  </si>
  <si>
    <t xml:space="preserve">422-423</t>
  </si>
  <si>
    <t xml:space="preserve">425-427</t>
  </si>
  <si>
    <t xml:space="preserve">If the RESP CODE was NOT OK then we need to set flags accordingly</t>
  </si>
  <si>
    <t xml:space="preserve">    IF SQLCODE NOT = 0
       MOVE 'N' TO COMM-SUCCESS
       MOVE '2' TO COMM-FAIL-CODE</t>
  </si>
  <si>
    <t xml:space="preserve">DBCRFUN-017</t>
  </si>
  <si>
    <t xml:space="preserve">473</t>
  </si>
  <si>
    <t xml:space="preserve">475-493</t>
  </si>
  <si>
    <t xml:space="preserve">Populate the current time and date</t>
  </si>
  <si>
    <t xml:space="preserve">    EXEC CICS ASKTIME
       ABSTIME(WS-U-TIME)
    END-EXEC.
    EXEC CICS FORMATTIME
              ABSTIME(WS-U-TIME)
              DDMMYYYY(WS-ORIG-DATE)
              TIME(HV-PROCTRAN-TIME)
              DATESEP('.')
    END-EXEC.
    MOVE WS-ORIG-DATE TO WS-ORIG-DATE-GRP-X.
    MOVE WS-ORIG-DATE-GRP-X TO HV-PROCTRAN-DATE.
    MOVE SPACES TO HV-PROCTRAN-DESC.
    IF COMM-AMT &lt; 0
       MOVE 'DEB' TO HV-PROCTRAN-TYPE
       MOVE 'COUNTER WTHDRW' TO HV-PROCTRAN-DESC</t>
  </si>
  <si>
    <t xml:space="preserve">DBCRFUN-018</t>
  </si>
  <si>
    <t xml:space="preserve">496</t>
  </si>
  <si>
    <t xml:space="preserve">498-506</t>
  </si>
  <si>
    <t xml:space="preserve">If it is a debit from a PAYMENT</t>
  </si>
  <si>
    <t xml:space="preserve">       IF COMM-FACILTYPE = 496
          MOVE 'PDR' TO HV-PROCTRAN-TYPE
          MOVE COMM-ORIGIN(1:14) TO
             HV-PROCTRAN-DESC
       END-IF
    ELSE
       MOVE 'CRE' TO HV-PROCTRAN-TYPE
       MOVE 'COUNTER RECVED' TO HV-PROCTRAN-DESC</t>
  </si>
  <si>
    <t xml:space="preserve">DBCRFUN-019</t>
  </si>
  <si>
    <t xml:space="preserve">509</t>
  </si>
  <si>
    <t xml:space="preserve">511-519</t>
  </si>
  <si>
    <t xml:space="preserve">If it is a credit from a PAYMENT</t>
  </si>
  <si>
    <t xml:space="preserve">       IF COMM-FACILTYPE = 496
          MOVE 'PCR' TO HV-PROCTRAN-TYPE
          MOVE COMM-ORIGIN(1:14) TO
             HV-PROCTRAN-DESC
       END-IF
    END-IF.
    MOVE COMM-AMT TO HV-PROCTRAN-AMOUNT.</t>
  </si>
  <si>
    <t xml:space="preserve">DBCRFUN-021</t>
  </si>
  <si>
    <t xml:space="preserve">552</t>
  </si>
  <si>
    <t xml:space="preserve">554-559</t>
  </si>
  <si>
    <t xml:space="preserve">Check the SQLCODE</t>
  </si>
  <si>
    <t xml:space="preserve">    IF SQLCODE NOT = 0
       MOVE SQLCODE TO SQLCODE-DISPLAY
       DISPLAY 'UNABLE TO WRITE TO PROCTRAN DB2 DATASTORE'
       ' SQLCODE=' SQLCODE-DISPLAY
       'WITH THE FOLLOWING DATA:' HOST-PROCTRAN-ROW</t>
  </si>
  <si>
    <t xml:space="preserve">comentário curto</t>
  </si>
  <si>
    <t xml:space="preserve">DBCRFUN-022</t>
  </si>
  <si>
    <t xml:space="preserve">561-562</t>
  </si>
  <si>
    <t xml:space="preserve">564-569</t>
  </si>
  <si>
    <t xml:space="preserve">You need to issue a ROLLBACK to get rid of the updated ACCOUNT record</t>
  </si>
  <si>
    <t xml:space="preserve">       EXEC CICS SYNCPOINT ROLLBACK
          RESP(WS-CICS-RESP)
          RESP2(WS-CICS-RESP2)
       END-EXEC
       IF WS-CICS-RESP NOT = DFHRESP(NORMAL)</t>
  </si>
  <si>
    <t xml:space="preserve">DBCRFUN-023</t>
  </si>
  <si>
    <t xml:space="preserve">571-574</t>
  </si>
  <si>
    <t xml:space="preserve">576-578</t>
  </si>
  <si>
    <t xml:space="preserve">Preserve the RESP and RESP2, then set up the standard ABEND info before getting the applid, date/time etc. and linking to the Abend Handler program.</t>
  </si>
  <si>
    <t xml:space="preserve">          INITIALIZE ABNDINFO-REC
          MOVE EIBRESP    TO ABND-RESPCODE
          MOVE EIBRESP2   TO ABND-RESP2CODE</t>
  </si>
  <si>
    <t xml:space="preserve">DBCRFUN-027</t>
  </si>
  <si>
    <t xml:space="preserve">671-672</t>
  </si>
  <si>
    <t xml:space="preserve">675-695</t>
  </si>
  <si>
    <t xml:space="preserve">Check if the Sqclode that is returned one that will trigger Storm Drain is active in Workload</t>
  </si>
  <si>
    <t xml:space="preserve">    EVALUATE SQLCODE
       WHEN 923
          MOVE 'DB2 Connection lost ' TO STORM-DRAIN-CONDITION
       WHEN OTHER
          MOVE 'Not Storm Drain     ' TO STORM-DRAIN-CONDITION
    END-EVALUATE.
    IF STORM-DRAIN-CONDITION NOT EQUAL 'Not Storm Drain     '
       DISPLAY 'DBCRFUN: Check-For-Storm-Drain-DB2: Storm '
               'Drain condition (' STORM-DRAIN-CONDITION ') '
               'has been met (' SQLCODE-DISPLAY ').'
    ELSE
       CONTINUE
    END-IF.
CFSDD999.
    EXIT.</t>
  </si>
  <si>
    <t xml:space="preserve">IF, EVALUATE, WHEN, falha</t>
  </si>
  <si>
    <t xml:space="preserve">DBCRFUN-029</t>
  </si>
  <si>
    <t xml:space="preserve">708-713</t>
  </si>
  <si>
    <t xml:space="preserve">716</t>
  </si>
  <si>
    <t xml:space="preserve">Evaluate the Abend code that is returned - For DB2 AD2Z ... provide some diagnostics - For VSAM RLS abends: AFCR, AFCS and AFCT record the Abend as happening but do not abend ... leave this to CPSM WLM "Storm drain" (Abend probability) to handle If not a "storm drain" ... take the abend afterwards</t>
  </si>
  <si>
    <t xml:space="preserve">    EVALUATE MY-ABEND-CODE</t>
  </si>
  <si>
    <t xml:space="preserve">EVALUATE</t>
  </si>
  <si>
    <t xml:space="preserve">DBCRFUN-030</t>
  </si>
  <si>
    <t xml:space="preserve">718</t>
  </si>
  <si>
    <t xml:space="preserve">720-735</t>
  </si>
  <si>
    <t xml:space="preserve">DB2 AD2Z abend</t>
  </si>
  <si>
    <t xml:space="preserve">       WHEN 'AD2Z'
          MOVE SQLCODE TO SQLCODE-DISPLAY
          DISPLAY 'DB2 DEADLOCK DETECTED IN DBCRFUN, SQLCODE='
             SQLCODE-DISPLAY
          DISPLAY 'DB2 DEADLOCK FOR ACCOUNT '
            HV-ACCOUNT-ACC-NO
          DISPLAY  'SQLSTATE=' SQLSTATE
                 ',SQLERRMC=' SQLERRMC(1:SQLERRML)
                 ',SQLERRD(1)=' SQLERRD(1)
                 ',SQLERRD(2)=' SQLERRD(2)
                 ',SQLERRD(3)=' SQLERRD(3)
                 ',SQLERRD(4)=' SQLERRD(4)
                 ',SQLERRD(5)=' SQLERRD(5)
                 ',SQLERRD(6)=' SQLERRD(6)</t>
  </si>
  <si>
    <t xml:space="preserve">WHEN, falha</t>
  </si>
  <si>
    <t xml:space="preserve">DBCRFUN-031</t>
  </si>
  <si>
    <t xml:space="preserve">738-740</t>
  </si>
  <si>
    <t xml:space="preserve">742-756</t>
  </si>
  <si>
    <t xml:space="preserve">VSAM RLS abends, subject to CPSM WLM Storm Drain check if handled (as here) and Workload Abend Thresholds are set.</t>
  </si>
  <si>
    <t xml:space="preserve">       WHEN 'AFCR'
       WHEN 'AFCS'
       WHEN 'AFCT'
          MOVE 'Y' TO WS-STORM-DRAIN
          DISPLAY 'DBCRFUN: Check-For-Storm-Drain-VSAM: Storm '
                 'Drain condition (Abend ' MY-ABEND-CODE ') '
                 'has been met.'
          EXEC CICS SYNCPOINT
             ROLLBACK
             RESP(WS-CICS-RESP)
             RESP2(WS-CICS-RESP2)
          END-EXEC
          IF WS-CICS-RESP NOT = DFHRESP(NORMAL)</t>
  </si>
  <si>
    <t xml:space="preserve">IF, WHEN, falha</t>
  </si>
  <si>
    <t xml:space="preserve">DBCRFUN-032</t>
  </si>
  <si>
    <t xml:space="preserve">758-761</t>
  </si>
  <si>
    <t xml:space="preserve">763-765</t>
  </si>
  <si>
    <t xml:space="preserve">             INITIALIZE ABNDINFO-REC
             MOVE EIBRESP    TO ABND-RESPCODE
             MOVE EIBRESP2   TO ABND-RESP2CODE</t>
  </si>
  <si>
    <t xml:space="preserve">Motivo do descarte</t>
  </si>
  <si>
    <t xml:space="preserve">Reavaliação</t>
  </si>
  <si>
    <t xml:space="preserve">DBCRFUN-002</t>
  </si>
  <si>
    <t xml:space="preserve">215-221</t>
  </si>
  <si>
    <t xml:space="preserve">223</t>
  </si>
  <si>
    <t xml:space="preserve">Determine what kind of ACCOUNT datastore we should be accessing Go and update the ACCOUNT record</t>
  </si>
  <si>
    <t xml:space="preserve">     PERFORM UPDATE-ACCOUNT-DB2.</t>
  </si>
  <si>
    <t xml:space="preserve">Procedural (sem decisão nem tratamento de falha)</t>
  </si>
  <si>
    <t xml:space="preserve">comentário menciona condição: reavaliar</t>
  </si>
  <si>
    <t xml:space="preserve">DBCRFUN-003</t>
  </si>
  <si>
    <t xml:space="preserve">225-226</t>
  </si>
  <si>
    <t xml:space="preserve">229-240</t>
  </si>
  <si>
    <t xml:space="preserve">The COMMAREA values have now been set so all we need to do is finish</t>
  </si>
  <si>
    <t xml:space="preserve">    PERFORM GET-ME-OUT-OF-HERE.
A999.
    EXIT.
UPDATE-ACCOUNT-DB2 SECTION.
UAD010.
    MOVE COMM-ACCNO TO DESIRED-ACC-NO.
    MOVE DESIRED-SORT-CODE TO HV-ACCOUNT-SORTCODE.
    MOVE DESIRED-ACC-NO TO HV-ACCOUNT-ACC-NO.</t>
  </si>
  <si>
    <t xml:space="preserve">DBCRFUN-004</t>
  </si>
  <si>
    <t xml:space="preserve">243</t>
  </si>
  <si>
    <t xml:space="preserve">245-273</t>
  </si>
  <si>
    <t xml:space="preserve">Retrieve the account information</t>
  </si>
  <si>
    <t xml:space="preserve">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
       FROM ACCOUNT
       WHERE  (ACCOUNT_SORTCODE = :HV-ACCOUNT-SORTCODE AND
               ACCOUNT_NUMBER = :HV-ACCOUNT-ACC-NO)
    END-EXEC.</t>
  </si>
  <si>
    <t xml:space="preserve">DBCRFUN-006</t>
  </si>
  <si>
    <t xml:space="preserve">290-291</t>
  </si>
  <si>
    <t xml:space="preserve">293-297</t>
  </si>
  <si>
    <t xml:space="preserve">Check if SQLCODE indicates that Storm Drain processing is applicable in a workload if activated</t>
  </si>
  <si>
    <t xml:space="preserve">       PERFORM CHECK-FOR-STORM-DRAIN-DB2
       GO TO UAD999
    END-IF.</t>
  </si>
  <si>
    <t xml:space="preserve">DBCRFUN-010</t>
  </si>
  <si>
    <t xml:space="preserve">380-382</t>
  </si>
  <si>
    <t xml:space="preserve">384-387</t>
  </si>
  <si>
    <t xml:space="preserve">If the SQLCODE from the SELECT is OK then update the record and update the details on the PROCTRAN (Processed transaction) datastore.</t>
  </si>
  <si>
    <t xml:space="preserve">    COMPUTE HV-ACCOUNT-AVAIL-BAL =
       HV-ACCOUNT-AVAIL-BAL + COMM-AMT.
    COMPUTE HV-ACCOUNT-ACTUAL-BAL =
       HV-ACCOUNT-ACTUAL-BAL + COMM-AMT.</t>
  </si>
  <si>
    <t xml:space="preserve">DBCRFUN-011</t>
  </si>
  <si>
    <t xml:space="preserve">390</t>
  </si>
  <si>
    <t xml:space="preserve">392-408</t>
  </si>
  <si>
    <t xml:space="preserve">Update the account record</t>
  </si>
  <si>
    <t xml:space="preserve">    EXEC SQL
       UPDATE ACCOUNT
       SET ACCOUNT_EYECATCHER = :HV-ACCOUNT-EYECATCHER,
           ACCOUNT_CUSTOMER_NUMBER = :HV-ACCOUNT-CUST-NO,
           ACCOUNT_SORTCODE = :HV-ACCOUNT-SORTCODE,
           ACCOUNT_NUMBER = :HV-ACCOUNT-ACC-NO,
           ACCOUNT_TYPE = :HV-ACCOUNT-ACC-TYPE,
           ACCOUNT_INTEREST_RATE = :HV-ACCOUNT-INT-RATE,
           ACCOUNT_OPENED = :HV-ACCOUNT-OPENED,
           ACCOUNT_OVERDRAFT_LIMIT = :HV-ACCOUNT-OVERDRAFT-LIM,
           ACCOUNT_LAST_STATEMENT = :HV-ACCOUNT-LAST-STMT,
           ACCOUNT_NEXT_STATEMENT = :HV-ACCOUNT-NEXT-STMT,
           ACCOUNT_AVAILABLE_BALANCE = :HV-ACCOUNT-AVAIL-BAL,
           ACCOUNT_ACTUAL_BALANCE = :HV-ACCOUNT-ACTUAL-BAL
       WHERE (ACCOUNT_SORTCODE = :HV-ACCOUNT-SORTCODE AND
              ACCOUNT_NUMBER = :HV-ACCOUNT-ACC-NO)
    END-EXEC.</t>
  </si>
  <si>
    <t xml:space="preserve">DBCRFUN-014</t>
  </si>
  <si>
    <t xml:space="preserve">429-430</t>
  </si>
  <si>
    <t xml:space="preserve">432-435</t>
  </si>
  <si>
    <t xml:space="preserve">DBCRFUN-015</t>
  </si>
  <si>
    <t xml:space="preserve">438-439</t>
  </si>
  <si>
    <t xml:space="preserve">441-448</t>
  </si>
  <si>
    <t xml:space="preserve">If the RESP CODE was normal then we need to write to the PROCTRAN (processed transaction) datastore.</t>
  </si>
  <si>
    <t xml:space="preserve">    PERFORM WRITE-TO-PROCTRAN.
UAD999.
    EXIT.
WRITE-TO-PROCTRAN SECTION.
WTP010.</t>
  </si>
  <si>
    <t xml:space="preserve">DBCRFUN-016</t>
  </si>
  <si>
    <t xml:space="preserve">451-452</t>
  </si>
  <si>
    <t xml:space="preserve">454-470</t>
  </si>
  <si>
    <t xml:space="preserve">Write to the PROCTRAN datastore deatils regarding the successfully applied transaction.</t>
  </si>
  <si>
    <t xml:space="preserve">     PERFORM WRITE-TO-PROCTRAN-DB2.
WTP999.
    EXIT.
WRITE-TO-PROCTRAN-DB2 SECTION.
WTPD010.
    INITIALIZE HOST-PROCTRAN-ROW.
    INITIALIZE WS-EIBTASKN12.
    MOVE 'PRTR' TO HV-PROCTRAN-EYECATCHER.
    MOVE COMM-SORTC TO HV-PROCTRAN-SORT-CODE.
    MOVE COMM-ACCNO TO HV-PROCTRAN-ACC-NUMBER.
    MOVE EIBTASKN TO WS-EIBTASKN12.
    MOVE WS-EIBTASKN12 TO HV-PROCTRAN-REF.</t>
  </si>
  <si>
    <t xml:space="preserve">DBCRFUN-020</t>
  </si>
  <si>
    <t xml:space="preserve">522</t>
  </si>
  <si>
    <t xml:space="preserve">524-549</t>
  </si>
  <si>
    <t xml:space="preserve">Write a record to PROCTRAN</t>
  </si>
  <si>
    <t xml:space="preserve">    EXEC SQL
       INSERT INTO PROCTRAN
              (
               PROCTRAN_EYECATCHER,
               PROCTRAN_SORTCODE,
               PROCTRAN_NUMBER,
               PROCTRAN_DATE,
               PROCTRAN_TIME,
               PROCTRAN_REF,
               PROCTRAN_TYPE,
               PROCTRAN_DESC,
               PROCTRAN_AMOUNT
              )
       VALUES
              (
               :HV-PROCTRAN-EYECATCHER,
               :HV-PROCTRAN-SORT-CODE,
               :HV-PROCTRAN-ACC-NUMBER,
               :HV-PROCTRAN-DATE,
               :HV-PROCTRAN-TIME,
               :HV-PROCTRAN-REF,
               :HV-PROCTRAN-TYPE,
               :HV-PROCTRAN-DESC,
               :HV-PROCTRAN-AMOUNT
              )
    END-EXEC.</t>
  </si>
  <si>
    <t xml:space="preserve">DBCRFUN-024</t>
  </si>
  <si>
    <t xml:space="preserve">580</t>
  </si>
  <si>
    <t xml:space="preserve">582-618</t>
  </si>
  <si>
    <t xml:space="preserve">Get supplemental information</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</si>
  <si>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'WTPD010 - COULD NOT ROLL BACK, POSSIBLE DATA'
                DELIMITED BY SIZE,
                'INTEGRITY ISSUE BETWEEN ACCOUNT AND PROCTRAN '
                DELIMITED BY SIZE,
                'FOR ROW:' DELIMITED BY SIZE,
                HOST-PROCTRAN-ROW DELIMITED BY SIZE,
                'EIBRESP=' DELIMITED BY SIZE,
                ABND-RESPCODE DELIMITED BY SIZE,
                ' RESP2=' DELIMITED BY SIZE,
                ABND-RESP2CODE DELIMITED BY SIZE
                INTO ABND-FREEFORM
          END-STRING</t>
  </si>
  <si>
    <t xml:space="preserve">comentário curto; trecho truncado (30 linhas)</t>
  </si>
  <si>
    <t xml:space="preserve">DBCRFUN-025</t>
  </si>
  <si>
    <t xml:space="preserve">639-640</t>
  </si>
  <si>
    <t xml:space="preserve">642-644</t>
  </si>
  <si>
    <t xml:space="preserve">       PERFORM CHECK-FOR-STORM-DRAIN-DB2
    ELSE</t>
  </si>
  <si>
    <t xml:space="preserve">DBCRFUN-026</t>
  </si>
  <si>
    <t xml:space="preserve">647</t>
  </si>
  <si>
    <t xml:space="preserve">649-669</t>
  </si>
  <si>
    <t xml:space="preserve">If the WRITE to PROCTRAN worked then it was a success</t>
  </si>
  <si>
    <t xml:space="preserve">       MOVE 'Y' TO COMM-SUCCESS
       MOVE '0' TO COMM-FAIL-CODE
    END-IF.
WTPD999.
    EXIT.
GET-ME-OUT-OF-HERE SECTION.
GMOOH010.
    EXEC CICS RETURN
    END-EXEC.
    GOBACK.
GMOOH999.
    EXIT.
CHECK-FOR-STORM-DRAIN-DB2 SECTION.
CFSDD010.</t>
  </si>
  <si>
    <t xml:space="preserve">DBCRFUN-028</t>
  </si>
  <si>
    <t xml:space="preserve">699</t>
  </si>
  <si>
    <t xml:space="preserve">701-705</t>
  </si>
  <si>
    <t xml:space="preserve">How ABENDs are dealt with</t>
  </si>
  <si>
    <t xml:space="preserve">ABEND-HANDLING SECTION.
AH010.
    EXEC CICS ASSIGN ABCODE(MY-ABEND-CODE)
    END-EXEC.</t>
  </si>
  <si>
    <t xml:space="preserve">DBCRFUN-033</t>
  </si>
  <si>
    <t xml:space="preserve">767</t>
  </si>
  <si>
    <t xml:space="preserve">769-805</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</si>
  <si>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'AH010 - Unable to perform Synpoint '
                DELIMITED BY SIZE,
                'Rollback.' DELIMITED BY SIZE,
                ' Possible Integrity issue following VSAM RLS '
                DELIMITED BY SIZE,
                'abend.' DELIMITED BY SIZE,
                'EIBRESP=' DELIMITED BY SIZE,
                ABND-RESPCODE DELIMITED BY SIZE,
                ' RESP2=' DELIMITED BY SIZE,
                ABND-RESP2CODE DELIMITED BY SIZE
                INTO ABND-FREEFORM
             END-STRING</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</si>
</sst>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0"/>
      <name val="Arial"/>
      <family val="0"/>
      <charset val="1"/>
    </font>
    <font>
      <sz val="10"/>
      <name val="Arial"/>
      <family val="0"/>
      <charset val="1"/>
    </font>
    <font>
      <b val="true"/>
      <sz val="10"/>
      <color rgb="FFFFFFFF"/>
      <name val="Arial"/>
      <family val="0"/>
      <charset val="1"/>
    </font>
    <font>
      <sz val="9"/>
      <name val="Courier New"/>
      <family val="0"/>
      <charset val="1"/>
    </font>
  </fonts>
  <fills count="4">
    <fill>
      <patternFill patternType="none"/>
    </fill>
    <fill>
      <patternFill patternType="gray125"/>
    </fill>
    <fill>
      <patternFill patternType="solid">
        <fgColor rgb="FF2F4F6F"/>
        <bgColor rgb="FF333333"/>
      </patternFill>
    </fill>
    <fill>
      <patternFill patternType="solid">
        <fgColor rgb="FFFFF9DB"/>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F4F6F"/>
          <bgColor rgb="FF000000"/>
        </patternFill>
      </fill>
    </dxf>
    <dxf>
      <fill>
        <patternFill patternType="solid">
          <bgColor rgb="FF000000"/>
        </patternFill>
      </fill>
    </dxf>
    <dxf>
      <fill>
        <patternFill patternType="solid">
          <fgColor rgb="FFFFFFFF"/>
          <bgColor rgb="FF000000"/>
        </patternFill>
      </fill>
    </dxf>
    <dxf>
      <fill>
        <patternFill patternType="solid">
          <fgColor rgb="FFFFF9D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DB"/>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4F6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0"/>
  </cols>
  <sheetData>
    <row r="1" customFormat="false" ht="16.15" hidden="false" customHeight="false" outlineLevel="0" collapsed="false">
      <c r="A1" s="1" t="s">
        <v>0</v>
      </c>
    </row>
    <row r="2" customFormat="false" ht="15" hidden="false" customHeight="false" outlineLevel="0" collapsed="false">
      <c r="A2" s="2"/>
    </row>
    <row r="3" customFormat="false" ht="23.85" hidden="false" customHeight="false" outlineLevel="0" collapsed="false">
      <c r="A3" s="2" t="s">
        <v>1</v>
      </c>
      <c r="B3" s="3" t="s">
        <v>2</v>
      </c>
    </row>
    <row r="4" customFormat="false" ht="23.85" hidden="false" customHeight="false" outlineLevel="0" collapsed="false">
      <c r="A4" s="2" t="s">
        <v>3</v>
      </c>
      <c r="B4" s="3" t="s">
        <v>4</v>
      </c>
    </row>
    <row r="5" customFormat="false" ht="23.85" hidden="false" customHeight="false" outlineLevel="0" collapsed="false">
      <c r="A5" s="2" t="s">
        <v>5</v>
      </c>
      <c r="B5" s="3" t="s">
        <v>6</v>
      </c>
    </row>
    <row r="6" customFormat="false" ht="23.85" hidden="false" customHeight="false" outlineLevel="0" collapsed="false">
      <c r="A6" s="2" t="s">
        <v>7</v>
      </c>
      <c r="B6" s="3" t="s">
        <v>8</v>
      </c>
    </row>
    <row r="7" customFormat="false" ht="15" hidden="false" customHeight="false" outlineLevel="0" collapsed="false">
      <c r="A7" s="2" t="s">
        <v>9</v>
      </c>
      <c r="B7" s="3" t="s">
        <v>10</v>
      </c>
    </row>
    <row r="8" customFormat="false" ht="46.25" hidden="false" customHeight="false" outlineLevel="0" collapsed="false">
      <c r="A8" s="2" t="s">
        <v>11</v>
      </c>
      <c r="B8" s="3" t="s">
        <v>12</v>
      </c>
    </row>
    <row r="9" customFormat="false" ht="35.05" hidden="false" customHeight="false" outlineLevel="0" collapsed="false">
      <c r="A9" s="2" t="s">
        <v>13</v>
      </c>
      <c r="B9" s="3" t="s">
        <v>14</v>
      </c>
    </row>
    <row r="10" customFormat="false" ht="15" hidden="false" customHeight="false" outlineLevel="0" collapsed="false">
      <c r="A10" s="2"/>
    </row>
    <row r="11" customFormat="false" ht="23.85" hidden="false" customHeight="false" outlineLevel="0" collapsed="false">
      <c r="A11" s="2" t="s">
        <v>15</v>
      </c>
      <c r="B11" s="3"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4" min="2" style="0" width="12"/>
    <col collapsed="false" customWidth="true" hidden="false" outlineLevel="0" max="6" min="5" style="0" width="10"/>
    <col collapsed="false" customWidth="true" hidden="false" outlineLevel="0" max="7" min="7" style="0" width="12"/>
    <col collapsed="false" customWidth="true" hidden="false" outlineLevel="0" max="8" min="8" style="0" width="11"/>
    <col collapsed="false" customWidth="true" hidden="false" outlineLevel="0" max="12" min="9" style="0" width="12"/>
  </cols>
  <sheetData>
    <row r="1" customFormat="false" ht="30" hidden="false" customHeight="true" outlineLevel="0" collapsed="false">
      <c r="A1" s="4" t="s">
        <v>17</v>
      </c>
      <c r="B1" s="4" t="s">
        <v>18</v>
      </c>
      <c r="C1" s="4" t="s">
        <v>19</v>
      </c>
      <c r="D1" s="4" t="s">
        <v>20</v>
      </c>
      <c r="E1" s="4" t="s">
        <v>21</v>
      </c>
      <c r="F1" s="4" t="s">
        <v>22</v>
      </c>
      <c r="G1" s="4" t="s">
        <v>23</v>
      </c>
      <c r="H1" s="4" t="s">
        <v>24</v>
      </c>
      <c r="I1" s="4" t="s">
        <v>25</v>
      </c>
      <c r="J1" s="4" t="s">
        <v>26</v>
      </c>
      <c r="K1" s="4" t="s">
        <v>27</v>
      </c>
      <c r="L1" s="4" t="s">
        <v>28</v>
      </c>
    </row>
    <row r="2" customFormat="false" ht="15" hidden="false" customHeight="false" outlineLevel="0" collapsed="false">
      <c r="A2" s="5" t="s">
        <v>29</v>
      </c>
      <c r="B2" s="5" t="n">
        <f aca="false">C2+D2</f>
        <v>33</v>
      </c>
      <c r="C2" s="5" t="n">
        <f aca="false">COUNTIF(Candidatos!$B:$B,$A2)</f>
        <v>18</v>
      </c>
      <c r="D2" s="5" t="n">
        <f aca="false">COUNTIF(Descartados!$B:$B,$A2)</f>
        <v>15</v>
      </c>
      <c r="E2" s="5" t="n">
        <f aca="false">COUNTIFS(Candidatos!$B:$B,$A2,Candidatos!$G:$G,"Decisão")</f>
        <v>7</v>
      </c>
      <c r="F2" s="5" t="n">
        <f aca="false">COUNTIFS(Candidatos!$B:$B,$A2,Candidatos!$G:$G,"Falha")</f>
        <v>4</v>
      </c>
      <c r="G2" s="5" t="n">
        <f aca="false">COUNTIFS(Candidatos!$B:$B,$A2,Candidatos!$G:$G,"Decisão e falha")</f>
        <v>7</v>
      </c>
      <c r="H2" s="5" t="n">
        <f aca="false">COUNTIFS(Candidatos!$B:$B,$A2,Candidatos!$I:$I,"&lt;&gt;")</f>
        <v>3</v>
      </c>
      <c r="I2" s="5" t="n">
        <f aca="false">COUNTIFS(Candidatos!$B:$B,$A2,Candidatos!$J:$J,"Manter")</f>
        <v>0</v>
      </c>
      <c r="J2" s="5" t="n">
        <f aca="false">COUNTIFS(Candidatos!$B:$B,$A2,Candidatos!$J:$J,"Descartar")</f>
        <v>0</v>
      </c>
      <c r="K2" s="5" t="n">
        <f aca="false">COUNTIFS(Candidatos!$B:$B,$A2,Candidatos!$J:$J,"Ajustar")</f>
        <v>0</v>
      </c>
      <c r="L2" s="5" t="n">
        <f aca="false">C2-I2-J2-K2</f>
        <v>18</v>
      </c>
    </row>
    <row r="3" customFormat="false" ht="15" hidden="false" customHeight="false" outlineLevel="0" collapsed="false">
      <c r="A3" s="6" t="s">
        <v>30</v>
      </c>
      <c r="B3" s="6" t="n">
        <f aca="false">SUM(B2:B2)</f>
        <v>33</v>
      </c>
      <c r="C3" s="6" t="n">
        <f aca="false">SUM(C2:C2)</f>
        <v>18</v>
      </c>
      <c r="D3" s="6" t="n">
        <f aca="false">SUM(D2:D2)</f>
        <v>15</v>
      </c>
      <c r="E3" s="6" t="n">
        <f aca="false">SUM(E2:E2)</f>
        <v>7</v>
      </c>
      <c r="F3" s="6" t="n">
        <f aca="false">SUM(F2:F2)</f>
        <v>4</v>
      </c>
      <c r="G3" s="6" t="n">
        <f aca="false">SUM(G2:G2)</f>
        <v>7</v>
      </c>
      <c r="H3" s="6" t="n">
        <f aca="false">SUM(H2:H2)</f>
        <v>3</v>
      </c>
      <c r="I3" s="6" t="n">
        <f aca="false">SUM(I2:I2)</f>
        <v>0</v>
      </c>
      <c r="J3" s="6" t="n">
        <f aca="false">SUM(J2:J2)</f>
        <v>0</v>
      </c>
      <c r="K3" s="6" t="n">
        <f aca="false">SUM(K2:K2)</f>
        <v>0</v>
      </c>
      <c r="L3" s="6" t="n">
        <f aca="false">SUM(L2:L2)</f>
        <v>18</v>
      </c>
    </row>
    <row r="5" customFormat="false" ht="15" hidden="false" customHeight="false" outlineLevel="0" collapsed="false">
      <c r="A5" s="5"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4" min="3" style="0" width="11"/>
    <col collapsed="false" customWidth="true" hidden="false" outlineLevel="0" max="5" min="5" style="0" width="60"/>
    <col collapsed="false" customWidth="true" hidden="false" outlineLevel="0" max="6" min="6" style="0" width="72"/>
    <col collapsed="false" customWidth="true" hidden="false" outlineLevel="0" max="8" min="7" style="0" width="15"/>
    <col collapsed="false" customWidth="true" hidden="false" outlineLevel="0" max="9" min="9" style="0" width="24"/>
    <col collapsed="false" customWidth="true" hidden="false" outlineLevel="0" max="11" min="10" style="0" width="13"/>
    <col collapsed="false" customWidth="true" hidden="false" outlineLevel="0" max="12" min="12" style="0" width="50"/>
    <col collapsed="false" customWidth="true" hidden="false" outlineLevel="0" max="13" min="13" style="0" width="30"/>
  </cols>
  <sheetData>
    <row r="1" customFormat="false" ht="30" hidden="false" customHeight="true" outlineLevel="0" collapsed="false">
      <c r="A1" s="4" t="s">
        <v>32</v>
      </c>
      <c r="B1" s="4" t="s">
        <v>17</v>
      </c>
      <c r="C1" s="4" t="s">
        <v>33</v>
      </c>
      <c r="D1" s="4" t="s">
        <v>34</v>
      </c>
      <c r="E1" s="4" t="s">
        <v>35</v>
      </c>
      <c r="F1" s="4" t="s">
        <v>36</v>
      </c>
      <c r="G1" s="4" t="s">
        <v>37</v>
      </c>
      <c r="H1" s="4" t="s">
        <v>38</v>
      </c>
      <c r="I1" s="4" t="s">
        <v>11</v>
      </c>
      <c r="J1" s="4" t="s">
        <v>39</v>
      </c>
      <c r="K1" s="4" t="s">
        <v>40</v>
      </c>
      <c r="L1" s="4" t="s">
        <v>41</v>
      </c>
      <c r="M1" s="4" t="s">
        <v>42</v>
      </c>
    </row>
    <row r="2" customFormat="false" ht="53.7" hidden="false" customHeight="false" outlineLevel="0" collapsed="false">
      <c r="A2" s="3" t="s">
        <v>43</v>
      </c>
      <c r="B2" s="3" t="s">
        <v>29</v>
      </c>
      <c r="C2" s="3" t="s">
        <v>44</v>
      </c>
      <c r="D2" s="3" t="s">
        <v>45</v>
      </c>
      <c r="E2" s="3" t="s">
        <v>46</v>
      </c>
      <c r="F2" s="7" t="s">
        <v>47</v>
      </c>
      <c r="G2" s="3" t="s">
        <v>22</v>
      </c>
      <c r="H2" s="3" t="s">
        <v>48</v>
      </c>
      <c r="I2" s="3"/>
      <c r="J2" s="8"/>
      <c r="K2" s="8"/>
      <c r="L2" s="8"/>
      <c r="M2" s="8"/>
    </row>
    <row r="3" customFormat="false" ht="74.6" hidden="false" customHeight="false" outlineLevel="0" collapsed="false">
      <c r="A3" s="3" t="s">
        <v>49</v>
      </c>
      <c r="B3" s="3" t="s">
        <v>29</v>
      </c>
      <c r="C3" s="3" t="s">
        <v>50</v>
      </c>
      <c r="D3" s="3" t="s">
        <v>51</v>
      </c>
      <c r="E3" s="3" t="s">
        <v>52</v>
      </c>
      <c r="F3" s="7" t="s">
        <v>53</v>
      </c>
      <c r="G3" s="3" t="s">
        <v>23</v>
      </c>
      <c r="H3" s="3" t="s">
        <v>54</v>
      </c>
      <c r="I3" s="3"/>
      <c r="J3" s="8"/>
      <c r="K3" s="8"/>
      <c r="L3" s="8"/>
      <c r="M3" s="8"/>
    </row>
    <row r="4" customFormat="false" ht="35.05" hidden="false" customHeight="false" outlineLevel="0" collapsed="false">
      <c r="A4" s="3" t="s">
        <v>55</v>
      </c>
      <c r="B4" s="3" t="s">
        <v>29</v>
      </c>
      <c r="C4" s="3" t="s">
        <v>56</v>
      </c>
      <c r="D4" s="3" t="s">
        <v>57</v>
      </c>
      <c r="E4" s="3" t="s">
        <v>58</v>
      </c>
      <c r="F4" s="7" t="s">
        <v>59</v>
      </c>
      <c r="G4" s="3" t="s">
        <v>21</v>
      </c>
      <c r="H4" s="3" t="s">
        <v>60</v>
      </c>
      <c r="I4" s="3"/>
      <c r="J4" s="8"/>
      <c r="K4" s="8"/>
      <c r="L4" s="8"/>
      <c r="M4" s="8"/>
    </row>
    <row r="5" customFormat="false" ht="199.95" hidden="false" customHeight="false" outlineLevel="0" collapsed="false">
      <c r="A5" s="3" t="s">
        <v>61</v>
      </c>
      <c r="B5" s="3" t="s">
        <v>29</v>
      </c>
      <c r="C5" s="3" t="s">
        <v>62</v>
      </c>
      <c r="D5" s="3" t="s">
        <v>63</v>
      </c>
      <c r="E5" s="3" t="s">
        <v>64</v>
      </c>
      <c r="F5" s="7" t="s">
        <v>65</v>
      </c>
      <c r="G5" s="3" t="s">
        <v>21</v>
      </c>
      <c r="H5" s="3" t="s">
        <v>60</v>
      </c>
      <c r="I5" s="3" t="s">
        <v>66</v>
      </c>
      <c r="J5" s="8"/>
      <c r="K5" s="8"/>
      <c r="L5" s="8"/>
      <c r="M5" s="8"/>
    </row>
    <row r="6" customFormat="false" ht="85.05" hidden="false" customHeight="false" outlineLevel="0" collapsed="false">
      <c r="A6" s="3" t="s">
        <v>67</v>
      </c>
      <c r="B6" s="3" t="s">
        <v>29</v>
      </c>
      <c r="C6" s="3" t="s">
        <v>68</v>
      </c>
      <c r="D6" s="3" t="s">
        <v>69</v>
      </c>
      <c r="E6" s="3" t="s">
        <v>70</v>
      </c>
      <c r="F6" s="7" t="s">
        <v>71</v>
      </c>
      <c r="G6" s="3" t="s">
        <v>21</v>
      </c>
      <c r="H6" s="3" t="s">
        <v>60</v>
      </c>
      <c r="I6" s="3"/>
      <c r="J6" s="8"/>
      <c r="K6" s="8"/>
      <c r="L6" s="8"/>
      <c r="M6" s="8"/>
    </row>
    <row r="7" customFormat="false" ht="53.7" hidden="false" customHeight="false" outlineLevel="0" collapsed="false">
      <c r="A7" s="3" t="s">
        <v>72</v>
      </c>
      <c r="B7" s="3" t="s">
        <v>29</v>
      </c>
      <c r="C7" s="3" t="s">
        <v>73</v>
      </c>
      <c r="D7" s="3" t="s">
        <v>74</v>
      </c>
      <c r="E7" s="3" t="s">
        <v>75</v>
      </c>
      <c r="F7" s="7" t="s">
        <v>76</v>
      </c>
      <c r="G7" s="3" t="s">
        <v>22</v>
      </c>
      <c r="H7" s="3" t="s">
        <v>48</v>
      </c>
      <c r="I7" s="3"/>
      <c r="J7" s="8"/>
      <c r="K7" s="8"/>
      <c r="L7" s="8"/>
      <c r="M7" s="8"/>
    </row>
    <row r="8" customFormat="false" ht="32.8" hidden="false" customHeight="false" outlineLevel="0" collapsed="false">
      <c r="A8" s="3" t="s">
        <v>77</v>
      </c>
      <c r="B8" s="3" t="s">
        <v>29</v>
      </c>
      <c r="C8" s="3" t="s">
        <v>78</v>
      </c>
      <c r="D8" s="3" t="s">
        <v>79</v>
      </c>
      <c r="E8" s="3" t="s">
        <v>80</v>
      </c>
      <c r="F8" s="7" t="s">
        <v>81</v>
      </c>
      <c r="G8" s="3" t="s">
        <v>23</v>
      </c>
      <c r="H8" s="3" t="s">
        <v>54</v>
      </c>
      <c r="I8" s="3"/>
      <c r="J8" s="8"/>
      <c r="K8" s="8"/>
      <c r="L8" s="8"/>
      <c r="M8" s="8"/>
    </row>
    <row r="9" customFormat="false" ht="158.2" hidden="false" customHeight="false" outlineLevel="0" collapsed="false">
      <c r="A9" s="3" t="s">
        <v>82</v>
      </c>
      <c r="B9" s="3" t="s">
        <v>29</v>
      </c>
      <c r="C9" s="3" t="s">
        <v>83</v>
      </c>
      <c r="D9" s="3" t="s">
        <v>84</v>
      </c>
      <c r="E9" s="3" t="s">
        <v>85</v>
      </c>
      <c r="F9" s="7" t="s">
        <v>86</v>
      </c>
      <c r="G9" s="3" t="s">
        <v>21</v>
      </c>
      <c r="H9" s="3" t="s">
        <v>60</v>
      </c>
      <c r="I9" s="3"/>
      <c r="J9" s="8"/>
      <c r="K9" s="8"/>
      <c r="L9" s="8"/>
      <c r="M9" s="8"/>
    </row>
    <row r="10" customFormat="false" ht="85.05" hidden="false" customHeight="false" outlineLevel="0" collapsed="false">
      <c r="A10" s="3" t="s">
        <v>87</v>
      </c>
      <c r="B10" s="3" t="s">
        <v>29</v>
      </c>
      <c r="C10" s="3" t="s">
        <v>88</v>
      </c>
      <c r="D10" s="3" t="s">
        <v>89</v>
      </c>
      <c r="E10" s="3" t="s">
        <v>90</v>
      </c>
      <c r="F10" s="7" t="s">
        <v>91</v>
      </c>
      <c r="G10" s="3" t="s">
        <v>21</v>
      </c>
      <c r="H10" s="3" t="s">
        <v>60</v>
      </c>
      <c r="I10" s="3"/>
      <c r="J10" s="8"/>
      <c r="K10" s="8"/>
      <c r="L10" s="8"/>
      <c r="M10" s="8"/>
    </row>
    <row r="11" customFormat="false" ht="74.6" hidden="false" customHeight="false" outlineLevel="0" collapsed="false">
      <c r="A11" s="3" t="s">
        <v>92</v>
      </c>
      <c r="B11" s="3" t="s">
        <v>29</v>
      </c>
      <c r="C11" s="3" t="s">
        <v>93</v>
      </c>
      <c r="D11" s="3" t="s">
        <v>94</v>
      </c>
      <c r="E11" s="3" t="s">
        <v>95</v>
      </c>
      <c r="F11" s="7" t="s">
        <v>96</v>
      </c>
      <c r="G11" s="3" t="s">
        <v>21</v>
      </c>
      <c r="H11" s="3" t="s">
        <v>60</v>
      </c>
      <c r="I11" s="3"/>
      <c r="J11" s="8"/>
      <c r="K11" s="8"/>
      <c r="L11" s="8"/>
      <c r="M11" s="8"/>
    </row>
    <row r="12" customFormat="false" ht="53.7" hidden="false" customHeight="false" outlineLevel="0" collapsed="false">
      <c r="A12" s="3" t="s">
        <v>97</v>
      </c>
      <c r="B12" s="3" t="s">
        <v>29</v>
      </c>
      <c r="C12" s="3" t="s">
        <v>98</v>
      </c>
      <c r="D12" s="3" t="s">
        <v>99</v>
      </c>
      <c r="E12" s="3" t="s">
        <v>100</v>
      </c>
      <c r="F12" s="7" t="s">
        <v>101</v>
      </c>
      <c r="G12" s="3" t="s">
        <v>23</v>
      </c>
      <c r="H12" s="3" t="s">
        <v>54</v>
      </c>
      <c r="I12" s="3" t="s">
        <v>102</v>
      </c>
      <c r="J12" s="8"/>
      <c r="K12" s="8"/>
      <c r="L12" s="8"/>
      <c r="M12" s="8"/>
    </row>
    <row r="13" customFormat="false" ht="53.7" hidden="false" customHeight="false" outlineLevel="0" collapsed="false">
      <c r="A13" s="3" t="s">
        <v>103</v>
      </c>
      <c r="B13" s="3" t="s">
        <v>29</v>
      </c>
      <c r="C13" s="3" t="s">
        <v>104</v>
      </c>
      <c r="D13" s="3" t="s">
        <v>105</v>
      </c>
      <c r="E13" s="3" t="s">
        <v>106</v>
      </c>
      <c r="F13" s="7" t="s">
        <v>107</v>
      </c>
      <c r="G13" s="3" t="s">
        <v>23</v>
      </c>
      <c r="H13" s="3" t="s">
        <v>54</v>
      </c>
      <c r="I13" s="3"/>
      <c r="J13" s="8"/>
      <c r="K13" s="8"/>
      <c r="L13" s="8"/>
      <c r="M13" s="8"/>
    </row>
    <row r="14" customFormat="false" ht="35.05" hidden="false" customHeight="false" outlineLevel="0" collapsed="false">
      <c r="A14" s="3" t="s">
        <v>108</v>
      </c>
      <c r="B14" s="3" t="s">
        <v>29</v>
      </c>
      <c r="C14" s="3" t="s">
        <v>109</v>
      </c>
      <c r="D14" s="3" t="s">
        <v>110</v>
      </c>
      <c r="E14" s="3" t="s">
        <v>111</v>
      </c>
      <c r="F14" s="7" t="s">
        <v>112</v>
      </c>
      <c r="G14" s="3" t="s">
        <v>22</v>
      </c>
      <c r="H14" s="3" t="s">
        <v>48</v>
      </c>
      <c r="I14" s="3"/>
      <c r="J14" s="8"/>
      <c r="K14" s="8"/>
      <c r="L14" s="8"/>
      <c r="M14" s="8"/>
    </row>
    <row r="15" customFormat="false" ht="158.2" hidden="false" customHeight="false" outlineLevel="0" collapsed="false">
      <c r="A15" s="3" t="s">
        <v>113</v>
      </c>
      <c r="B15" s="3" t="s">
        <v>29</v>
      </c>
      <c r="C15" s="3" t="s">
        <v>114</v>
      </c>
      <c r="D15" s="3" t="s">
        <v>115</v>
      </c>
      <c r="E15" s="3" t="s">
        <v>116</v>
      </c>
      <c r="F15" s="7" t="s">
        <v>117</v>
      </c>
      <c r="G15" s="3" t="s">
        <v>23</v>
      </c>
      <c r="H15" s="3" t="s">
        <v>118</v>
      </c>
      <c r="I15" s="3"/>
      <c r="J15" s="8"/>
      <c r="K15" s="8"/>
      <c r="L15" s="8"/>
      <c r="M15" s="8"/>
    </row>
    <row r="16" customFormat="false" ht="57.45" hidden="false" customHeight="false" outlineLevel="0" collapsed="false">
      <c r="A16" s="3" t="s">
        <v>119</v>
      </c>
      <c r="B16" s="3" t="s">
        <v>29</v>
      </c>
      <c r="C16" s="3" t="s">
        <v>120</v>
      </c>
      <c r="D16" s="3" t="s">
        <v>121</v>
      </c>
      <c r="E16" s="3" t="s">
        <v>122</v>
      </c>
      <c r="F16" s="7" t="s">
        <v>123</v>
      </c>
      <c r="G16" s="3" t="s">
        <v>21</v>
      </c>
      <c r="H16" s="3" t="s">
        <v>124</v>
      </c>
      <c r="I16" s="3"/>
      <c r="J16" s="8"/>
      <c r="K16" s="8"/>
      <c r="L16" s="8"/>
      <c r="M16" s="8"/>
    </row>
    <row r="17" customFormat="false" ht="147.75" hidden="false" customHeight="false" outlineLevel="0" collapsed="false">
      <c r="A17" s="3" t="s">
        <v>125</v>
      </c>
      <c r="B17" s="3" t="s">
        <v>29</v>
      </c>
      <c r="C17" s="3" t="s">
        <v>126</v>
      </c>
      <c r="D17" s="3" t="s">
        <v>127</v>
      </c>
      <c r="E17" s="3" t="s">
        <v>128</v>
      </c>
      <c r="F17" s="7" t="s">
        <v>129</v>
      </c>
      <c r="G17" s="3" t="s">
        <v>23</v>
      </c>
      <c r="H17" s="3" t="s">
        <v>130</v>
      </c>
      <c r="I17" s="3" t="s">
        <v>102</v>
      </c>
      <c r="J17" s="8"/>
      <c r="K17" s="8"/>
      <c r="L17" s="8"/>
      <c r="M17" s="8"/>
    </row>
    <row r="18" customFormat="false" ht="137.3" hidden="false" customHeight="false" outlineLevel="0" collapsed="false">
      <c r="A18" s="3" t="s">
        <v>131</v>
      </c>
      <c r="B18" s="3" t="s">
        <v>29</v>
      </c>
      <c r="C18" s="3" t="s">
        <v>132</v>
      </c>
      <c r="D18" s="3" t="s">
        <v>133</v>
      </c>
      <c r="E18" s="3" t="s">
        <v>134</v>
      </c>
      <c r="F18" s="7" t="s">
        <v>135</v>
      </c>
      <c r="G18" s="3" t="s">
        <v>23</v>
      </c>
      <c r="H18" s="3" t="s">
        <v>136</v>
      </c>
      <c r="I18" s="3"/>
      <c r="J18" s="8"/>
      <c r="K18" s="8"/>
      <c r="L18" s="8"/>
      <c r="M18" s="8"/>
    </row>
    <row r="19" customFormat="false" ht="35.05" hidden="false" customHeight="false" outlineLevel="0" collapsed="false">
      <c r="A19" s="3" t="s">
        <v>137</v>
      </c>
      <c r="B19" s="3" t="s">
        <v>29</v>
      </c>
      <c r="C19" s="3" t="s">
        <v>138</v>
      </c>
      <c r="D19" s="3" t="s">
        <v>139</v>
      </c>
      <c r="E19" s="3" t="s">
        <v>111</v>
      </c>
      <c r="F19" s="7" t="s">
        <v>140</v>
      </c>
      <c r="G19" s="3" t="s">
        <v>22</v>
      </c>
      <c r="H19" s="3" t="s">
        <v>48</v>
      </c>
      <c r="I19" s="3"/>
      <c r="J19" s="8"/>
      <c r="K19" s="8"/>
      <c r="L19" s="8"/>
      <c r="M19" s="8"/>
    </row>
  </sheetData>
  <autoFilter ref="A1:M19"/>
  <dataValidations count="1">
    <dataValidation allowBlank="true" errorStyle="stop" operator="between" showDropDown="false" showErrorMessage="false" showInputMessage="false" sqref="J2:K19" type="list">
      <formula1>"Manter,Descartar,Ajustar"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4" min="3" style="0" width="11"/>
    <col collapsed="false" customWidth="true" hidden="false" outlineLevel="0" max="5" min="5" style="0" width="60"/>
    <col collapsed="false" customWidth="true" hidden="false" outlineLevel="0" max="6" min="6" style="0" width="72"/>
    <col collapsed="false" customWidth="true" hidden="false" outlineLevel="0" max="7" min="7" style="0" width="30"/>
    <col collapsed="false" customWidth="true" hidden="false" outlineLevel="0" max="8" min="8" style="0" width="24"/>
    <col collapsed="false" customWidth="true" hidden="false" outlineLevel="0" max="9" min="9" style="0" width="16"/>
  </cols>
  <sheetData>
    <row r="1" customFormat="false" ht="30" hidden="false" customHeight="true" outlineLevel="0" collapsed="false">
      <c r="A1" s="4" t="s">
        <v>32</v>
      </c>
      <c r="B1" s="4" t="s">
        <v>17</v>
      </c>
      <c r="C1" s="4" t="s">
        <v>33</v>
      </c>
      <c r="D1" s="4" t="s">
        <v>34</v>
      </c>
      <c r="E1" s="4" t="s">
        <v>35</v>
      </c>
      <c r="F1" s="4" t="s">
        <v>36</v>
      </c>
      <c r="G1" s="4" t="s">
        <v>141</v>
      </c>
      <c r="H1" s="4" t="s">
        <v>11</v>
      </c>
      <c r="I1" s="4" t="s">
        <v>142</v>
      </c>
    </row>
    <row r="2" customFormat="false" ht="23.85" hidden="false" customHeight="false" outlineLevel="0" collapsed="false">
      <c r="A2" s="3" t="s">
        <v>143</v>
      </c>
      <c r="B2" s="3" t="s">
        <v>29</v>
      </c>
      <c r="C2" s="3" t="s">
        <v>144</v>
      </c>
      <c r="D2" s="3" t="s">
        <v>145</v>
      </c>
      <c r="E2" s="3" t="s">
        <v>146</v>
      </c>
      <c r="F2" s="7" t="s">
        <v>147</v>
      </c>
      <c r="G2" s="3" t="s">
        <v>148</v>
      </c>
      <c r="H2" s="3" t="s">
        <v>149</v>
      </c>
      <c r="I2" s="8"/>
    </row>
    <row r="3" customFormat="false" ht="85.05" hidden="false" customHeight="false" outlineLevel="0" collapsed="false">
      <c r="A3" s="3" t="s">
        <v>150</v>
      </c>
      <c r="B3" s="3" t="s">
        <v>29</v>
      </c>
      <c r="C3" s="3" t="s">
        <v>151</v>
      </c>
      <c r="D3" s="3" t="s">
        <v>152</v>
      </c>
      <c r="E3" s="3" t="s">
        <v>153</v>
      </c>
      <c r="F3" s="7" t="s">
        <v>154</v>
      </c>
      <c r="G3" s="3" t="s">
        <v>148</v>
      </c>
      <c r="H3" s="3"/>
      <c r="I3" s="8"/>
    </row>
    <row r="4" customFormat="false" ht="305.2" hidden="false" customHeight="false" outlineLevel="0" collapsed="false">
      <c r="A4" s="3" t="s">
        <v>155</v>
      </c>
      <c r="B4" s="3" t="s">
        <v>29</v>
      </c>
      <c r="C4" s="3" t="s">
        <v>156</v>
      </c>
      <c r="D4" s="3" t="s">
        <v>157</v>
      </c>
      <c r="E4" s="3" t="s">
        <v>158</v>
      </c>
      <c r="F4" s="7" t="s">
        <v>159</v>
      </c>
      <c r="G4" s="3" t="s">
        <v>148</v>
      </c>
      <c r="H4" s="3"/>
      <c r="I4" s="8"/>
    </row>
    <row r="5" customFormat="false" ht="32.8" hidden="false" customHeight="false" outlineLevel="0" collapsed="false">
      <c r="A5" s="3" t="s">
        <v>160</v>
      </c>
      <c r="B5" s="3" t="s">
        <v>29</v>
      </c>
      <c r="C5" s="3" t="s">
        <v>161</v>
      </c>
      <c r="D5" s="3" t="s">
        <v>162</v>
      </c>
      <c r="E5" s="3" t="s">
        <v>163</v>
      </c>
      <c r="F5" s="7" t="s">
        <v>164</v>
      </c>
      <c r="G5" s="3" t="s">
        <v>148</v>
      </c>
      <c r="H5" s="3" t="s">
        <v>149</v>
      </c>
      <c r="I5" s="8"/>
    </row>
    <row r="6" customFormat="false" ht="43.25" hidden="false" customHeight="false" outlineLevel="0" collapsed="false">
      <c r="A6" s="3" t="s">
        <v>165</v>
      </c>
      <c r="B6" s="3" t="s">
        <v>29</v>
      </c>
      <c r="C6" s="3" t="s">
        <v>166</v>
      </c>
      <c r="D6" s="3" t="s">
        <v>167</v>
      </c>
      <c r="E6" s="3" t="s">
        <v>168</v>
      </c>
      <c r="F6" s="7" t="s">
        <v>169</v>
      </c>
      <c r="G6" s="3" t="s">
        <v>148</v>
      </c>
      <c r="H6" s="3" t="s">
        <v>149</v>
      </c>
      <c r="I6" s="8"/>
    </row>
    <row r="7" customFormat="false" ht="179.1" hidden="false" customHeight="false" outlineLevel="0" collapsed="false">
      <c r="A7" s="3" t="s">
        <v>170</v>
      </c>
      <c r="B7" s="3" t="s">
        <v>29</v>
      </c>
      <c r="C7" s="3" t="s">
        <v>171</v>
      </c>
      <c r="D7" s="3" t="s">
        <v>172</v>
      </c>
      <c r="E7" s="3" t="s">
        <v>173</v>
      </c>
      <c r="F7" s="7" t="s">
        <v>174</v>
      </c>
      <c r="G7" s="3" t="s">
        <v>148</v>
      </c>
      <c r="H7" s="3"/>
      <c r="I7" s="8"/>
    </row>
    <row r="8" customFormat="false" ht="32.8" hidden="false" customHeight="false" outlineLevel="0" collapsed="false">
      <c r="A8" s="3" t="s">
        <v>175</v>
      </c>
      <c r="B8" s="3" t="s">
        <v>29</v>
      </c>
      <c r="C8" s="3" t="s">
        <v>176</v>
      </c>
      <c r="D8" s="3" t="s">
        <v>177</v>
      </c>
      <c r="E8" s="3" t="s">
        <v>163</v>
      </c>
      <c r="F8" s="7" t="s">
        <v>164</v>
      </c>
      <c r="G8" s="3" t="s">
        <v>148</v>
      </c>
      <c r="H8" s="3" t="s">
        <v>149</v>
      </c>
      <c r="I8" s="8"/>
    </row>
    <row r="9" customFormat="false" ht="53.7" hidden="false" customHeight="false" outlineLevel="0" collapsed="false">
      <c r="A9" s="3" t="s">
        <v>178</v>
      </c>
      <c r="B9" s="3" t="s">
        <v>29</v>
      </c>
      <c r="C9" s="3" t="s">
        <v>179</v>
      </c>
      <c r="D9" s="3" t="s">
        <v>180</v>
      </c>
      <c r="E9" s="3" t="s">
        <v>181</v>
      </c>
      <c r="F9" s="7" t="s">
        <v>182</v>
      </c>
      <c r="G9" s="3" t="s">
        <v>148</v>
      </c>
      <c r="H9" s="3" t="s">
        <v>149</v>
      </c>
      <c r="I9" s="8"/>
    </row>
    <row r="10" customFormat="false" ht="126.85" hidden="false" customHeight="false" outlineLevel="0" collapsed="false">
      <c r="A10" s="3" t="s">
        <v>183</v>
      </c>
      <c r="B10" s="3" t="s">
        <v>29</v>
      </c>
      <c r="C10" s="3" t="s">
        <v>184</v>
      </c>
      <c r="D10" s="3" t="s">
        <v>185</v>
      </c>
      <c r="E10" s="3" t="s">
        <v>186</v>
      </c>
      <c r="F10" s="7" t="s">
        <v>187</v>
      </c>
      <c r="G10" s="3" t="s">
        <v>148</v>
      </c>
      <c r="H10" s="3"/>
      <c r="I10" s="8"/>
    </row>
    <row r="11" customFormat="false" ht="273.85" hidden="false" customHeight="false" outlineLevel="0" collapsed="false">
      <c r="A11" s="3" t="s">
        <v>188</v>
      </c>
      <c r="B11" s="3" t="s">
        <v>29</v>
      </c>
      <c r="C11" s="3" t="s">
        <v>189</v>
      </c>
      <c r="D11" s="3" t="s">
        <v>190</v>
      </c>
      <c r="E11" s="3" t="s">
        <v>191</v>
      </c>
      <c r="F11" s="7" t="s">
        <v>192</v>
      </c>
      <c r="G11" s="3" t="s">
        <v>148</v>
      </c>
      <c r="H11" s="3"/>
      <c r="I11" s="8"/>
    </row>
    <row r="12" customFormat="false" ht="315.65" hidden="false" customHeight="false" outlineLevel="0" collapsed="false">
      <c r="A12" s="3" t="s">
        <v>193</v>
      </c>
      <c r="B12" s="3" t="s">
        <v>29</v>
      </c>
      <c r="C12" s="3" t="s">
        <v>194</v>
      </c>
      <c r="D12" s="3" t="s">
        <v>195</v>
      </c>
      <c r="E12" s="3" t="s">
        <v>196</v>
      </c>
      <c r="F12" s="7" t="s">
        <v>197</v>
      </c>
      <c r="G12" s="3" t="s">
        <v>148</v>
      </c>
      <c r="H12" s="3" t="s">
        <v>198</v>
      </c>
      <c r="I12" s="8"/>
    </row>
    <row r="13" customFormat="false" ht="23.85" hidden="false" customHeight="false" outlineLevel="0" collapsed="false">
      <c r="A13" s="3" t="s">
        <v>199</v>
      </c>
      <c r="B13" s="3" t="s">
        <v>29</v>
      </c>
      <c r="C13" s="3" t="s">
        <v>200</v>
      </c>
      <c r="D13" s="3" t="s">
        <v>201</v>
      </c>
      <c r="E13" s="3" t="s">
        <v>163</v>
      </c>
      <c r="F13" s="7" t="s">
        <v>202</v>
      </c>
      <c r="G13" s="3" t="s">
        <v>148</v>
      </c>
      <c r="H13" s="3" t="s">
        <v>149</v>
      </c>
      <c r="I13" s="8"/>
    </row>
    <row r="14" customFormat="false" ht="147.75" hidden="false" customHeight="false" outlineLevel="0" collapsed="false">
      <c r="A14" s="3" t="s">
        <v>203</v>
      </c>
      <c r="B14" s="3" t="s">
        <v>29</v>
      </c>
      <c r="C14" s="3" t="s">
        <v>204</v>
      </c>
      <c r="D14" s="3" t="s">
        <v>205</v>
      </c>
      <c r="E14" s="3" t="s">
        <v>206</v>
      </c>
      <c r="F14" s="7" t="s">
        <v>207</v>
      </c>
      <c r="G14" s="3" t="s">
        <v>148</v>
      </c>
      <c r="H14" s="3" t="s">
        <v>149</v>
      </c>
      <c r="I14" s="8"/>
    </row>
    <row r="15" customFormat="false" ht="43.25" hidden="false" customHeight="false" outlineLevel="0" collapsed="false">
      <c r="A15" s="3" t="s">
        <v>208</v>
      </c>
      <c r="B15" s="3" t="s">
        <v>29</v>
      </c>
      <c r="C15" s="3" t="s">
        <v>209</v>
      </c>
      <c r="D15" s="3" t="s">
        <v>210</v>
      </c>
      <c r="E15" s="3" t="s">
        <v>211</v>
      </c>
      <c r="F15" s="7" t="s">
        <v>212</v>
      </c>
      <c r="G15" s="3" t="s">
        <v>148</v>
      </c>
      <c r="H15" s="3"/>
      <c r="I15" s="8"/>
    </row>
    <row r="16" customFormat="false" ht="315.65" hidden="false" customHeight="false" outlineLevel="0" collapsed="false">
      <c r="A16" s="3" t="s">
        <v>213</v>
      </c>
      <c r="B16" s="3" t="s">
        <v>29</v>
      </c>
      <c r="C16" s="3" t="s">
        <v>214</v>
      </c>
      <c r="D16" s="3" t="s">
        <v>215</v>
      </c>
      <c r="E16" s="3" t="s">
        <v>196</v>
      </c>
      <c r="F16" s="7" t="s">
        <v>216</v>
      </c>
      <c r="G16" s="3" t="s">
        <v>148</v>
      </c>
      <c r="H16" s="3" t="s">
        <v>198</v>
      </c>
      <c r="I16" s="8"/>
    </row>
  </sheetData>
  <autoFilter ref="A1:I16"/>
  <dataValidations count="1">
    <dataValidation allowBlank="true" errorStyle="stop" operator="between" showDropDown="false" showErrorMessage="false" showInputMessage="false" sqref="I2:I16" type="list">
      <formula1>"Manter descartado,Reincluir"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2026-09-22T13:58:39Z</dcterms:created>
  <dc:creator>openpyxl</dc:creator>
  <dc:description/>
  <dc:language>en-US</dc:language>
  <cp:lastModifiedBy/>
  <dcterms:modified xsi:type="dcterms:W3CDTF">2026-09-22T13:58:39Z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