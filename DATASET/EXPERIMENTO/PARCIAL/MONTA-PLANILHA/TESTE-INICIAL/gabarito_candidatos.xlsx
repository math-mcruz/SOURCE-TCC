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a" sheetId="1" state="visible" r:id="rId1"/>
    <sheet name="Resumo" sheetId="2" state="visible" r:id="rId2"/>
    <sheet name="Candidatos" sheetId="3" state="visible" r:id="rId3"/>
    <sheet name="Descartados" sheetId="4" state="visible" r:id="rId4"/>
  </sheets>
  <definedNames>
    <definedName name="_xlnm._FilterDatabase" localSheetId="2" hidden="1">'Candidatos'!$A$1:$M$121</definedName>
    <definedName name="_xlnm._FilterDatabase" localSheetId="3" hidden="1">'Descartados'!$A$1:$I$76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b val="1"/>
      <sz val="10"/>
    </font>
    <font>
      <name val="Arial"/>
      <sz val="10"/>
    </font>
    <font>
      <name val="Arial"/>
      <b val="1"/>
      <color rgb="00FFFFFF"/>
      <sz val="10"/>
    </font>
    <font>
      <name val="Courier New"/>
      <sz val="9"/>
    </font>
  </fonts>
  <fills count="4">
    <fill>
      <patternFill/>
    </fill>
    <fill>
      <patternFill patternType="gray125"/>
    </fill>
    <fill>
      <patternFill patternType="solid">
        <fgColor rgb="002F4F6F"/>
      </patternFill>
    </fill>
    <fill>
      <patternFill patternType="solid">
        <fgColor rgb="00FFF9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3" fillId="0" borderId="0" pivotButton="0" quotePrefix="0" xfId="0"/>
    <xf numFmtId="0" fontId="2" fillId="0" borderId="0" pivotButton="0" quotePrefix="0" xfId="0"/>
    <xf numFmtId="0" fontId="5"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10" customWidth="1" min="2" max="2"/>
  </cols>
  <sheetData>
    <row r="1">
      <c r="A1" s="1" t="inlineStr">
        <is>
          <t>Gabarito (ground-truth): pares candidatos de comentário e código</t>
        </is>
      </c>
    </row>
    <row r="2">
      <c r="A2" s="2" t="inlineStr"/>
    </row>
    <row r="3">
      <c r="A3" s="2" t="inlineStr">
        <is>
          <t>Origem</t>
        </is>
      </c>
      <c r="B3" s="3" t="inlineStr">
        <is>
          <t>Programas da CBSA na pasta ORIGINAL do repositório da base de dados (commit e22475691524ef72a92ee77f7040233e098ab1b9, ijmitch/cics-banking-sample-application-cbsa). Números de linha referem-se aos arquivos do ORIGINAL.</t>
        </is>
      </c>
    </row>
    <row r="4">
      <c r="A4" s="2" t="inlineStr">
        <is>
          <t>Como foi gerado</t>
        </is>
      </c>
      <c r="B4" s="3" t="inlineStr">
        <is>
          <t>Extração automática (script extrair_pares_gabarito_adaptado.py). Cada bloco de comentário da PROCEDURE DIVISION é pareado ao código que o segue, até o próximo comentário (limite de 30 linhas por trecho).</t>
        </is>
      </c>
    </row>
    <row r="5">
      <c r="A5" s="2" t="inlineStr">
        <is>
          <t>Filtro (E4, seção 1.3)</t>
        </is>
      </c>
      <c r="B5" s="3" t="inlineStr">
        <is>
          <t>Retido: trecho com IF, EVALUATE ou WHEN, ou com tratamento de falha (ABEND, SQLCODE, HANDLE, DFHRESP, EIBRESP, EIBRCODE). O filtro é sintático: trechos de infraestrutura pura (rollback, ABEND de DB2/VSAM, storm drain) também aparecem aqui, porque contêm essas palavras-chave — a exclusão semântica é feita na revisão manual (coluna Categoria), não pelo script. Os demais (sem decisão nem falha) ficam na aba Descartados, para que o critério seja auditável.</t>
        </is>
      </c>
    </row>
    <row r="6">
      <c r="A6" s="2" t="inlineStr">
        <is>
          <t>O que preencher</t>
        </is>
      </c>
      <c r="B6" s="3" t="inlineStr">
        <is>
          <t>Aba Candidatos, colunas J a M (fundo amarelo): Regra de negócio extraída, Categoria, Status e Observação — mesmas colunas usadas na revisão manual do DBCRFUN. Na aba Descartados, coluna I.</t>
        </is>
      </c>
    </row>
    <row r="7">
      <c r="A7" s="2" t="inlineStr">
        <is>
          <t>Valores da revisão</t>
        </is>
      </c>
      <c r="B7" s="3" t="inlineStr">
        <is>
          <t>Categoria: regra de negócio, infraestrutura (excluída) ou a discutir (lista suspensa). Status: A validar ou Validado. Em Descartados: Manter descartado ou Reincluir.</t>
        </is>
      </c>
    </row>
    <row r="8">
      <c r="A8" s="2" t="inlineStr">
        <is>
          <t>Alertas</t>
        </is>
      </c>
      <c r="B8" s="3" t="inlineStr">
        <is>
          <t>possível código desativado: o comentário parece uma instrução COBOL comentada. comentário curto: até 3 palavras. trecho truncado: o código do par passa do limite de linhas; conferir o restante no fonte. comentários adjacentes fundidos: o bloco seguinte de comentário foi unido porque o trecho entre eles não tinha código ativo. comentário menciona condição (aba Descartados): o comentário descreve uma condição, mas o trecho seguinte é só ação; a decisão pode estar antes no fonte.</t>
        </is>
      </c>
    </row>
    <row r="9">
      <c r="A9" s="2" t="inlineStr">
        <is>
          <t>Limitações</t>
        </is>
      </c>
      <c r="B9" s="3" t="inlineStr">
        <is>
          <t>A triagem é heurística e não substitui a revisão dupla. Comentários de cabeçalho (antes da PROCEDURE DIVISION) não entram. Linhas de depuração (indicador D) aparecem com o prefixo [D]. O tipo (Decisão, Falha, Decisão e falha) é atribuído ao trecho inteiro, não ao comentário isolado.</t>
        </is>
      </c>
    </row>
    <row r="10">
      <c r="A10" s="2" t="inlineStr"/>
    </row>
    <row r="11">
      <c r="A11" s="2" t="inlineStr">
        <is>
          <t>Exemplo de regra atômica</t>
        </is>
      </c>
      <c r="B11" s="3" t="inlineStr">
        <is>
          <t>Ilustrativo, não faz parte do gabarito: "Se o valor solicitado for um débito e o saldo disponível for insuficiente, a solicitação é negada." (uma condição e uma consequência por regra)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0" customWidth="1" min="5" max="5"/>
    <col width="10" customWidth="1" min="6" max="6"/>
    <col width="12" customWidth="1" min="7" max="7"/>
    <col width="11" customWidth="1" min="8" max="8"/>
    <col width="13" customWidth="1" min="9" max="9"/>
    <col width="16" customWidth="1" min="10" max="10"/>
    <col width="11" customWidth="1" min="11" max="11"/>
    <col width="11" customWidth="1" min="12" max="12"/>
    <col width="11" customWidth="1" min="13" max="13"/>
  </cols>
  <sheetData>
    <row r="1" ht="30" customHeight="1">
      <c r="A1" s="4" t="inlineStr">
        <is>
          <t>Programa</t>
        </is>
      </c>
      <c r="B1" s="4" t="inlineStr">
        <is>
          <t>Blocos com texto</t>
        </is>
      </c>
      <c r="C1" s="4" t="inlineStr">
        <is>
          <t>Candidatos retidos</t>
        </is>
      </c>
      <c r="D1" s="4" t="inlineStr">
        <is>
          <t>Descartados</t>
        </is>
      </c>
      <c r="E1" s="4" t="inlineStr">
        <is>
          <t>Decisão</t>
        </is>
      </c>
      <c r="F1" s="4" t="inlineStr">
        <is>
          <t>Falha</t>
        </is>
      </c>
      <c r="G1" s="4" t="inlineStr">
        <is>
          <t>Decisão e falha</t>
        </is>
      </c>
      <c r="H1" s="4" t="inlineStr">
        <is>
          <t>Com alertas</t>
        </is>
      </c>
      <c r="I1" s="4" t="inlineStr">
        <is>
          <t>Regra de negócio</t>
        </is>
      </c>
      <c r="J1" s="4" t="inlineStr">
        <is>
          <t>Infraestrutura (excluída)</t>
        </is>
      </c>
      <c r="K1" s="4" t="inlineStr">
        <is>
          <t>A discutir</t>
        </is>
      </c>
      <c r="L1" s="4" t="inlineStr">
        <is>
          <t>Validados</t>
        </is>
      </c>
      <c r="M1" s="4" t="inlineStr">
        <is>
          <t>Pendentes</t>
        </is>
      </c>
    </row>
    <row r="2">
      <c r="A2" s="5" t="inlineStr">
        <is>
          <t>DBCRFUN</t>
        </is>
      </c>
      <c r="B2" s="5">
        <f>C2+D2</f>
        <v/>
      </c>
      <c r="C2" s="5">
        <f>COUNTIF(Candidatos!$B:$B,$A2)</f>
        <v/>
      </c>
      <c r="D2" s="5">
        <f>COUNTIF(Descartados!$B:$B,$A2)</f>
        <v/>
      </c>
      <c r="E2" s="5">
        <f>COUNTIFS(Candidatos!$B:$B,$A2,Candidatos!$G:$G,"Decisão")</f>
        <v/>
      </c>
      <c r="F2" s="5">
        <f>COUNTIFS(Candidatos!$B:$B,$A2,Candidatos!$G:$G,"Falha")</f>
        <v/>
      </c>
      <c r="G2" s="5">
        <f>COUNTIFS(Candidatos!$B:$B,$A2,Candidatos!$G:$G,"Decisão e falha")</f>
        <v/>
      </c>
      <c r="H2" s="5">
        <f>COUNTIFS(Candidatos!$B:$B,$A2,Candidatos!$I:$I,"&lt;&gt;")</f>
        <v/>
      </c>
      <c r="I2" s="5">
        <f>COUNTIFS(Candidatos!$B:$B,$A2,Candidatos!$K:$K,"regra de negócio")</f>
        <v/>
      </c>
      <c r="J2" s="5">
        <f>COUNTIFS(Candidatos!$B:$B,$A2,Candidatos!$K:$K,"infraestrutura (excluída)")</f>
        <v/>
      </c>
      <c r="K2" s="5">
        <f>COUNTIFS(Candidatos!$B:$B,$A2,Candidatos!$K:$K,"a discutir")</f>
        <v/>
      </c>
      <c r="L2" s="5">
        <f>COUNTIFS(Candidatos!$B:$B,$A2,Candidatos!$L:$L,"Validado")</f>
        <v/>
      </c>
      <c r="M2" s="5">
        <f>C2-L2</f>
        <v/>
      </c>
    </row>
    <row r="3">
      <c r="A3" s="5" t="inlineStr">
        <is>
          <t>XFRFUN</t>
        </is>
      </c>
      <c r="B3" s="5">
        <f>C3+D3</f>
        <v/>
      </c>
      <c r="C3" s="5">
        <f>COUNTIF(Candidatos!$B:$B,$A3)</f>
        <v/>
      </c>
      <c r="D3" s="5">
        <f>COUNTIF(Descartados!$B:$B,$A3)</f>
        <v/>
      </c>
      <c r="E3" s="5">
        <f>COUNTIFS(Candidatos!$B:$B,$A3,Candidatos!$G:$G,"Decisão")</f>
        <v/>
      </c>
      <c r="F3" s="5">
        <f>COUNTIFS(Candidatos!$B:$B,$A3,Candidatos!$G:$G,"Falha")</f>
        <v/>
      </c>
      <c r="G3" s="5">
        <f>COUNTIFS(Candidatos!$B:$B,$A3,Candidatos!$G:$G,"Decisão e falha")</f>
        <v/>
      </c>
      <c r="H3" s="5">
        <f>COUNTIFS(Candidatos!$B:$B,$A3,Candidatos!$I:$I,"&lt;&gt;")</f>
        <v/>
      </c>
      <c r="I3" s="5">
        <f>COUNTIFS(Candidatos!$B:$B,$A3,Candidatos!$K:$K,"regra de negócio")</f>
        <v/>
      </c>
      <c r="J3" s="5">
        <f>COUNTIFS(Candidatos!$B:$B,$A3,Candidatos!$K:$K,"infraestrutura (excluída)")</f>
        <v/>
      </c>
      <c r="K3" s="5">
        <f>COUNTIFS(Candidatos!$B:$B,$A3,Candidatos!$K:$K,"a discutir")</f>
        <v/>
      </c>
      <c r="L3" s="5">
        <f>COUNTIFS(Candidatos!$B:$B,$A3,Candidatos!$L:$L,"Validado")</f>
        <v/>
      </c>
      <c r="M3" s="5">
        <f>C3-L3</f>
        <v/>
      </c>
    </row>
    <row r="4">
      <c r="A4" s="5" t="inlineStr">
        <is>
          <t>BNK1CRA</t>
        </is>
      </c>
      <c r="B4" s="5">
        <f>C4+D4</f>
        <v/>
      </c>
      <c r="C4" s="5">
        <f>COUNTIF(Candidatos!$B:$B,$A4)</f>
        <v/>
      </c>
      <c r="D4" s="5">
        <f>COUNTIF(Descartados!$B:$B,$A4)</f>
        <v/>
      </c>
      <c r="E4" s="5">
        <f>COUNTIFS(Candidatos!$B:$B,$A4,Candidatos!$G:$G,"Decisão")</f>
        <v/>
      </c>
      <c r="F4" s="5">
        <f>COUNTIFS(Candidatos!$B:$B,$A4,Candidatos!$G:$G,"Falha")</f>
        <v/>
      </c>
      <c r="G4" s="5">
        <f>COUNTIFS(Candidatos!$B:$B,$A4,Candidatos!$G:$G,"Decisão e falha")</f>
        <v/>
      </c>
      <c r="H4" s="5">
        <f>COUNTIFS(Candidatos!$B:$B,$A4,Candidatos!$I:$I,"&lt;&gt;")</f>
        <v/>
      </c>
      <c r="I4" s="5">
        <f>COUNTIFS(Candidatos!$B:$B,$A4,Candidatos!$K:$K,"regra de negócio")</f>
        <v/>
      </c>
      <c r="J4" s="5">
        <f>COUNTIFS(Candidatos!$B:$B,$A4,Candidatos!$K:$K,"infraestrutura (excluída)")</f>
        <v/>
      </c>
      <c r="K4" s="5">
        <f>COUNTIFS(Candidatos!$B:$B,$A4,Candidatos!$K:$K,"a discutir")</f>
        <v/>
      </c>
      <c r="L4" s="5">
        <f>COUNTIFS(Candidatos!$B:$B,$A4,Candidatos!$L:$L,"Validado")</f>
        <v/>
      </c>
      <c r="M4" s="5">
        <f>C4-L4</f>
        <v/>
      </c>
    </row>
    <row r="5">
      <c r="A5" s="5" t="inlineStr">
        <is>
          <t>BNK1TFN</t>
        </is>
      </c>
      <c r="B5" s="5">
        <f>C5+D5</f>
        <v/>
      </c>
      <c r="C5" s="5">
        <f>COUNTIF(Candidatos!$B:$B,$A5)</f>
        <v/>
      </c>
      <c r="D5" s="5">
        <f>COUNTIF(Descartados!$B:$B,$A5)</f>
        <v/>
      </c>
      <c r="E5" s="5">
        <f>COUNTIFS(Candidatos!$B:$B,$A5,Candidatos!$G:$G,"Decisão")</f>
        <v/>
      </c>
      <c r="F5" s="5">
        <f>COUNTIFS(Candidatos!$B:$B,$A5,Candidatos!$G:$G,"Falha")</f>
        <v/>
      </c>
      <c r="G5" s="5">
        <f>COUNTIFS(Candidatos!$B:$B,$A5,Candidatos!$G:$G,"Decisão e falha")</f>
        <v/>
      </c>
      <c r="H5" s="5">
        <f>COUNTIFS(Candidatos!$B:$B,$A5,Candidatos!$I:$I,"&lt;&gt;")</f>
        <v/>
      </c>
      <c r="I5" s="5">
        <f>COUNTIFS(Candidatos!$B:$B,$A5,Candidatos!$K:$K,"regra de negócio")</f>
        <v/>
      </c>
      <c r="J5" s="5">
        <f>COUNTIFS(Candidatos!$B:$B,$A5,Candidatos!$K:$K,"infraestrutura (excluída)")</f>
        <v/>
      </c>
      <c r="K5" s="5">
        <f>COUNTIFS(Candidatos!$B:$B,$A5,Candidatos!$K:$K,"a discutir")</f>
        <v/>
      </c>
      <c r="L5" s="5">
        <f>COUNTIFS(Candidatos!$B:$B,$A5,Candidatos!$L:$L,"Validado")</f>
        <v/>
      </c>
      <c r="M5" s="5">
        <f>C5-L5</f>
        <v/>
      </c>
    </row>
    <row r="6">
      <c r="A6" s="6" t="inlineStr">
        <is>
          <t>TOTAL</t>
        </is>
      </c>
      <c r="B6" s="6">
        <f>SUM(B2:B5)</f>
        <v/>
      </c>
      <c r="C6" s="6">
        <f>SUM(C2:C5)</f>
        <v/>
      </c>
      <c r="D6" s="6">
        <f>SUM(D2:D5)</f>
        <v/>
      </c>
      <c r="E6" s="6">
        <f>SUM(E2:E5)</f>
        <v/>
      </c>
      <c r="F6" s="6">
        <f>SUM(F2:F5)</f>
        <v/>
      </c>
      <c r="G6" s="6">
        <f>SUM(G2:G5)</f>
        <v/>
      </c>
      <c r="H6" s="6">
        <f>SUM(H2:H5)</f>
        <v/>
      </c>
      <c r="I6" s="6">
        <f>SUM(I2:I5)</f>
        <v/>
      </c>
      <c r="J6" s="6">
        <f>SUM(J2:J5)</f>
        <v/>
      </c>
      <c r="K6" s="6">
        <f>SUM(K2:K5)</f>
        <v/>
      </c>
      <c r="L6" s="6">
        <f>SUM(L2:L5)</f>
        <v/>
      </c>
      <c r="M6" s="6" t="n"/>
    </row>
    <row r="8">
      <c r="A8" s="5" t="inlineStr">
        <is>
          <t>Contagens por fórmula: atualizam conforme a revisão é preenchida na aba Candidatos.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1" customWidth="1" min="3" max="3"/>
    <col width="11" customWidth="1" min="4" max="4"/>
    <col width="60" customWidth="1" min="5" max="5"/>
    <col width="72" customWidth="1" min="6" max="6"/>
    <col width="15" customWidth="1" min="7" max="7"/>
    <col width="15" customWidth="1" min="8" max="8"/>
    <col width="24" customWidth="1" min="9" max="9"/>
    <col width="50" customWidth="1" min="10" max="10"/>
    <col width="20" customWidth="1" min="11" max="11"/>
    <col width="12" customWidth="1" min="12" max="12"/>
    <col width="30" customWidth="1" min="13" max="13"/>
  </cols>
  <sheetData>
    <row r="1" ht="30" customHeight="1">
      <c r="A1" s="4" t="inlineStr">
        <is>
          <t>ID</t>
        </is>
      </c>
      <c r="B1" s="4" t="inlineStr">
        <is>
          <t>Programa</t>
        </is>
      </c>
      <c r="C1" s="4" t="inlineStr">
        <is>
          <t>Linhas do comentário</t>
        </is>
      </c>
      <c r="D1" s="4" t="inlineStr">
        <is>
          <t>Linhas do código</t>
        </is>
      </c>
      <c r="E1" s="4" t="inlineStr">
        <is>
          <t>Comentário</t>
        </is>
      </c>
      <c r="F1" s="4" t="inlineStr">
        <is>
          <t>Trecho de código</t>
        </is>
      </c>
      <c r="G1" s="4" t="inlineStr">
        <is>
          <t>Tipo</t>
        </is>
      </c>
      <c r="H1" s="4" t="inlineStr">
        <is>
          <t>Estruturas</t>
        </is>
      </c>
      <c r="I1" s="4" t="inlineStr">
        <is>
          <t>Alertas</t>
        </is>
      </c>
      <c r="J1" s="4" t="inlineStr">
        <is>
          <t>Regra de negócio extraída</t>
        </is>
      </c>
      <c r="K1" s="4" t="inlineStr">
        <is>
          <t>Categoria</t>
        </is>
      </c>
      <c r="L1" s="4" t="inlineStr">
        <is>
          <t>Status</t>
        </is>
      </c>
      <c r="M1" s="4" t="inlineStr">
        <is>
          <t>Observação</t>
        </is>
      </c>
    </row>
    <row r="2">
      <c r="A2" s="3" t="inlineStr">
        <is>
          <t>DBCRFUN-001</t>
        </is>
      </c>
      <c r="B2" s="3" t="inlineStr">
        <is>
          <t>DBCRFUN</t>
        </is>
      </c>
      <c r="C2" s="3" t="inlineStr">
        <is>
          <t>205</t>
        </is>
      </c>
      <c r="D2" s="3" t="inlineStr">
        <is>
          <t>207-212</t>
        </is>
      </c>
      <c r="E2" s="3" t="inlineStr">
        <is>
          <t>Set up some Abend handling</t>
        </is>
      </c>
      <c r="F2" s="7" t="inlineStr">
        <is>
          <t xml:space="preserve">    EXEC CICS HANDLE ABEND
       LABEL(ABEND-HANDLING)
    END-EXEC.
    MOVE SORTCODE TO COMM-SORTC.
    MOVE SORTCODE TO DESIRED-SORT-CODE.</t>
        </is>
      </c>
      <c r="G2" s="3" t="inlineStr">
        <is>
          <t>Falha</t>
        </is>
      </c>
      <c r="H2" s="3" t="inlineStr">
        <is>
          <t>falha</t>
        </is>
      </c>
      <c r="I2" s="3" t="n"/>
      <c r="J2" s="8" t="n"/>
      <c r="K2" s="8" t="n"/>
      <c r="L2" s="8" t="inlineStr">
        <is>
          <t>A validar</t>
        </is>
      </c>
      <c r="M2" s="8" t="n"/>
    </row>
    <row r="3">
      <c r="A3" s="3" t="inlineStr">
        <is>
          <t>DBCRFUN-005</t>
        </is>
      </c>
      <c r="B3" s="3" t="inlineStr">
        <is>
          <t>DBCRFUN</t>
        </is>
      </c>
      <c r="C3" s="3" t="inlineStr">
        <is>
          <t>276-277</t>
        </is>
      </c>
      <c r="D3" s="3" t="inlineStr">
        <is>
          <t>279-287</t>
        </is>
      </c>
      <c r="E3" s="3" t="inlineStr">
        <is>
          <t>Check that select was successful. If it wasn't then deal with it</t>
        </is>
      </c>
      <c r="F3" s="7" t="inlineStr">
        <is>
          <t xml:space="preserve">    IF SQLCODE NOT = 0
       MOVE 'N' TO COMM-SUCCESS
       IF SQLCODE = +100
          MOVE '1' TO COMM-FAIL-CODE
       ELSE
          MOVE '2' TO COMM-FAIL-CODE
       END-IF</t>
        </is>
      </c>
      <c r="G3" s="3" t="inlineStr">
        <is>
          <t>Decisão e falha</t>
        </is>
      </c>
      <c r="H3" s="3" t="inlineStr">
        <is>
          <t>IF, falha</t>
        </is>
      </c>
      <c r="I3" s="3" t="n"/>
      <c r="J3" s="8" t="n"/>
      <c r="K3" s="8" t="n"/>
      <c r="L3" s="8" t="inlineStr">
        <is>
          <t>A validar</t>
        </is>
      </c>
      <c r="M3" s="8" t="n"/>
    </row>
    <row r="4">
      <c r="A4" s="3" t="inlineStr">
        <is>
          <t>DBCRFUN-007</t>
        </is>
      </c>
      <c r="B4" s="3" t="inlineStr">
        <is>
          <t>DBCRFUN</t>
        </is>
      </c>
      <c r="C4" s="3" t="inlineStr">
        <is>
          <t>301-304</t>
        </is>
      </c>
      <c r="D4" s="3" t="inlineStr">
        <is>
          <t>307</t>
        </is>
      </c>
      <c r="E4" s="3" t="inlineStr">
        <is>
          <t>Is the amount being requested a debit or a credit? If it is a CREDIT (+) then we don't need to ensure that the available balance has sufficient funds, because this is money coming in.</t>
        </is>
      </c>
      <c r="F4" s="7" t="inlineStr">
        <is>
          <t xml:space="preserve">    IF COMM-AMT &lt; 0</t>
        </is>
      </c>
      <c r="G4" s="3" t="inlineStr">
        <is>
          <t>Decisão</t>
        </is>
      </c>
      <c r="H4" s="3" t="inlineStr">
        <is>
          <t>IF</t>
        </is>
      </c>
      <c r="I4" s="3" t="n"/>
      <c r="J4" s="8" t="n"/>
      <c r="K4" s="8" t="n"/>
      <c r="L4" s="8" t="inlineStr">
        <is>
          <t>A validar</t>
        </is>
      </c>
      <c r="M4" s="8" t="n"/>
    </row>
    <row r="5">
      <c r="A5" s="3" t="inlineStr">
        <is>
          <t>DBCRFUN-008</t>
        </is>
      </c>
      <c r="B5" s="3" t="inlineStr">
        <is>
          <t>DBCRFUN</t>
        </is>
      </c>
      <c r="C5" s="3" t="inlineStr">
        <is>
          <t>309-328</t>
        </is>
      </c>
      <c r="D5" s="3" t="inlineStr">
        <is>
          <t>316-352</t>
        </is>
      </c>
      <c r="E5" s="3" t="inlineStr">
        <is>
          <t>The amount being requested is a DEBIT/Payment (-) so we do need to check that the available balance is sufficient to cover the amount being asked for. If there are NOT sufficient funds the request is denied so remove the record LOCK and and finish. Check to see whether the Payment is being requested from a MORTGAGE or LOAN account. We only make this check for PAYMENTs (we don't make this check for requests via the Teller). How do we know it is a PAYMENT as opposed to a Teller, this is determined by the COMM-FACILTYPE(496 = NONE) If it is a PAYMENT being requested from a MORTGAGE or LOAN account then set an appropriate fail code (4) and finish up.</t>
        </is>
      </c>
      <c r="F5" s="7" t="inlineStr">
        <is>
          <t>[D]        DISPLAY 'COMM-AMT IS negative'
       IF (HV-ACCOUNT-ACC-TYPE = 'MORTGAGE'
       AND COMM-FACILTYPE = 496)
       OR (HV-ACCOUNT-ACC-TYPE = 'LOAN    '
       AND COMM-FACILTYPE = 496)
          MOVE 'N' TO COMM-SUCCESS
          MOVE '4' TO COMM-FAIL-CODE
          GO TO UAD999
       END-IF
       MOVE 0 TO WS-DIFFERENCE
       COMPUTE WS-DIFFERENCE = HV-ACCOUNT-AVAIL-BAL
          + COMM-AMT
       IF WS-DIFFERENCE &lt; 0 AND COMM-FACILTYPE = 496
[D]           DISPLAY 'insufficient funds!'
          MOVE 'N' TO COMM-SUCCESS
          MOVE '3' TO COMM-FAIL-CODE
          GO TO UAD999
       END-IF
    END-IF.</t>
        </is>
      </c>
      <c r="G5" s="3" t="inlineStr">
        <is>
          <t>Decisão</t>
        </is>
      </c>
      <c r="H5" s="3" t="inlineStr">
        <is>
          <t>IF</t>
        </is>
      </c>
      <c r="I5" s="3" t="inlineStr">
        <is>
          <t>comentários adjacentes fundidos</t>
        </is>
      </c>
      <c r="J5" s="8" t="n"/>
      <c r="K5" s="8" t="n"/>
      <c r="L5" s="8" t="inlineStr">
        <is>
          <t>A validar</t>
        </is>
      </c>
      <c r="M5" s="8" t="n"/>
    </row>
    <row r="6">
      <c r="A6" s="3" t="inlineStr">
        <is>
          <t>DBCRFUN-009</t>
        </is>
      </c>
      <c r="B6" s="3" t="inlineStr">
        <is>
          <t>DBCRFUN</t>
        </is>
      </c>
      <c r="C6" s="3" t="inlineStr">
        <is>
          <t>356-366</t>
        </is>
      </c>
      <c r="D6" s="3" t="inlineStr">
        <is>
          <t>368-376</t>
        </is>
      </c>
      <c r="E6" s="3" t="inlineStr">
        <is>
          <t>Check to see whether a Credit is being requested from a MORTGAGE or LOAN account. We only make this check for requests via the PAYMENT link (we don't make this check for requests via the Teller). How do we know it is a PAYMENT as opposed to a Teller, this is determined by the COMM-FACILTYPE(496 = NONE) If it is a PAYMENT credit being requested from a MORTGAGE or LOAN account then set an appropriate fail code (4), remove the record lock and finish up.</t>
        </is>
      </c>
      <c r="F6" s="7" t="inlineStr">
        <is>
          <t xml:space="preserve">    IF (HV-ACCOUNT-ACC-TYPE = 'MORTGAGE' AND
    COMM-FACILTYPE = 496)
    OR (HV-ACCOUNT-ACC-TYPE = 'LOAN    '
    AND COMM-FACILTYPE = 496)
       MOVE 'N' TO COMM-SUCCESS
       MOVE '4' TO COMM-FAIL-CODE
       GO TO UAD999
    END-IF.</t>
        </is>
      </c>
      <c r="G6" s="3" t="inlineStr">
        <is>
          <t>Decisão</t>
        </is>
      </c>
      <c r="H6" s="3" t="inlineStr">
        <is>
          <t>IF</t>
        </is>
      </c>
      <c r="I6" s="3" t="n"/>
      <c r="J6" s="8" t="n"/>
      <c r="K6" s="8" t="n"/>
      <c r="L6" s="8" t="inlineStr">
        <is>
          <t>A validar</t>
        </is>
      </c>
      <c r="M6" s="8" t="n"/>
    </row>
    <row r="7">
      <c r="A7" s="3" t="inlineStr">
        <is>
          <t>DBCRFUN-012</t>
        </is>
      </c>
      <c r="B7" s="3" t="inlineStr">
        <is>
          <t>DBCRFUN</t>
        </is>
      </c>
      <c r="C7" s="3" t="inlineStr">
        <is>
          <t>411-412</t>
        </is>
      </c>
      <c r="D7" s="3" t="inlineStr">
        <is>
          <t>414-419</t>
        </is>
      </c>
      <c r="E7" s="3" t="inlineStr">
        <is>
          <t>If the rewrite was successful then we need to pass back the amended available balance and actual balance.</t>
        </is>
      </c>
      <c r="F7" s="7" t="inlineStr">
        <is>
          <t xml:space="preserve">    MOVE SQLCODE TO SQLCODE-DISPLAY.
    MOVE HV-ACCOUNT-AVAIL-BAL TO
       COMM-AV-BAL.
    MOVE HV-ACCOUNT-ACTUAL-BAL TO
       COMM-ACT-BAL.</t>
        </is>
      </c>
      <c r="G7" s="3" t="inlineStr">
        <is>
          <t>Falha</t>
        </is>
      </c>
      <c r="H7" s="3" t="inlineStr">
        <is>
          <t>falha</t>
        </is>
      </c>
      <c r="I7" s="3" t="n"/>
      <c r="J7" s="8" t="n"/>
      <c r="K7" s="8" t="n"/>
      <c r="L7" s="8" t="inlineStr">
        <is>
          <t>A validar</t>
        </is>
      </c>
      <c r="M7" s="8" t="n"/>
    </row>
    <row r="8">
      <c r="A8" s="3" t="inlineStr">
        <is>
          <t>DBCRFUN-013</t>
        </is>
      </c>
      <c r="B8" s="3" t="inlineStr">
        <is>
          <t>DBCRFUN</t>
        </is>
      </c>
      <c r="C8" s="3" t="inlineStr">
        <is>
          <t>422-423</t>
        </is>
      </c>
      <c r="D8" s="3" t="inlineStr">
        <is>
          <t>425-427</t>
        </is>
      </c>
      <c r="E8" s="3" t="inlineStr">
        <is>
          <t>If the RESP CODE was NOT OK then we need to set flags accordingly</t>
        </is>
      </c>
      <c r="F8" s="7" t="inlineStr">
        <is>
          <t xml:space="preserve">    IF SQLCODE NOT = 0
       MOVE 'N' TO COMM-SUCCESS
       MOVE '2' TO COMM-FAIL-CODE</t>
        </is>
      </c>
      <c r="G8" s="3" t="inlineStr">
        <is>
          <t>Decisão e falha</t>
        </is>
      </c>
      <c r="H8" s="3" t="inlineStr">
        <is>
          <t>IF, falha</t>
        </is>
      </c>
      <c r="I8" s="3" t="n"/>
      <c r="J8" s="8" t="n"/>
      <c r="K8" s="8" t="n"/>
      <c r="L8" s="8" t="inlineStr">
        <is>
          <t>A validar</t>
        </is>
      </c>
      <c r="M8" s="8" t="n"/>
    </row>
    <row r="9">
      <c r="A9" s="3" t="inlineStr">
        <is>
          <t>DBCRFUN-017</t>
        </is>
      </c>
      <c r="B9" s="3" t="inlineStr">
        <is>
          <t>DBCRFUN</t>
        </is>
      </c>
      <c r="C9" s="3" t="inlineStr">
        <is>
          <t>473</t>
        </is>
      </c>
      <c r="D9" s="3" t="inlineStr">
        <is>
          <t>475-493</t>
        </is>
      </c>
      <c r="E9" s="3" t="inlineStr">
        <is>
          <t>Populate the current time and date</t>
        </is>
      </c>
      <c r="F9" s="7" t="inlineStr">
        <is>
          <t xml:space="preserve">    EXEC CICS ASKTIME
       ABSTIME(WS-U-TIME)
    END-EXEC.
    EXEC CICS FORMATTIME
              ABSTIME(WS-U-TIME)
              DDMMYYYY(WS-ORIG-DATE)
              TIME(HV-PROCTRAN-TIME)
              DATESEP('.')
    END-EXEC.
    MOVE WS-ORIG-DATE TO WS-ORIG-DATE-GRP-X.
    MOVE WS-ORIG-DATE-GRP-X TO HV-PROCTRAN-DATE.
    MOVE SPACES TO HV-PROCTRAN-DESC.
    IF COMM-AMT &lt; 0
       MOVE 'DEB' TO HV-PROCTRAN-TYPE
       MOVE 'COUNTER WTHDRW' TO HV-PROCTRAN-DESC</t>
        </is>
      </c>
      <c r="G9" s="3" t="inlineStr">
        <is>
          <t>Decisão</t>
        </is>
      </c>
      <c r="H9" s="3" t="inlineStr">
        <is>
          <t>IF</t>
        </is>
      </c>
      <c r="I9" s="3" t="n"/>
      <c r="J9" s="8" t="n"/>
      <c r="K9" s="8" t="n"/>
      <c r="L9" s="8" t="inlineStr">
        <is>
          <t>A validar</t>
        </is>
      </c>
      <c r="M9" s="8" t="n"/>
    </row>
    <row r="10">
      <c r="A10" s="3" t="inlineStr">
        <is>
          <t>DBCRFUN-018</t>
        </is>
      </c>
      <c r="B10" s="3" t="inlineStr">
        <is>
          <t>DBCRFUN</t>
        </is>
      </c>
      <c r="C10" s="3" t="inlineStr">
        <is>
          <t>496</t>
        </is>
      </c>
      <c r="D10" s="3" t="inlineStr">
        <is>
          <t>498-506</t>
        </is>
      </c>
      <c r="E10" s="3" t="inlineStr">
        <is>
          <t>If it is a debit from a PAYMENT</t>
        </is>
      </c>
      <c r="F10" s="7" t="inlineStr">
        <is>
          <t xml:space="preserve">       IF COMM-FACILTYPE = 496
          MOVE 'PDR' TO HV-PROCTRAN-TYPE
          MOVE COMM-ORIGIN(1:14) TO
             HV-PROCTRAN-DESC
       END-IF
    ELSE
       MOVE 'CRE' TO HV-PROCTRAN-TYPE
       MOVE 'COUNTER RECVED' TO HV-PROCTRAN-DESC</t>
        </is>
      </c>
      <c r="G10" s="3" t="inlineStr">
        <is>
          <t>Decisão</t>
        </is>
      </c>
      <c r="H10" s="3" t="inlineStr">
        <is>
          <t>IF</t>
        </is>
      </c>
      <c r="I10" s="3" t="n"/>
      <c r="J10" s="8" t="n"/>
      <c r="K10" s="8" t="n"/>
      <c r="L10" s="8" t="inlineStr">
        <is>
          <t>A validar</t>
        </is>
      </c>
      <c r="M10" s="8" t="n"/>
    </row>
    <row r="11">
      <c r="A11" s="3" t="inlineStr">
        <is>
          <t>DBCRFUN-019</t>
        </is>
      </c>
      <c r="B11" s="3" t="inlineStr">
        <is>
          <t>DBCRFUN</t>
        </is>
      </c>
      <c r="C11" s="3" t="inlineStr">
        <is>
          <t>509</t>
        </is>
      </c>
      <c r="D11" s="3" t="inlineStr">
        <is>
          <t>511-519</t>
        </is>
      </c>
      <c r="E11" s="3" t="inlineStr">
        <is>
          <t>If it is a credit from a PAYMENT</t>
        </is>
      </c>
      <c r="F11" s="7" t="inlineStr">
        <is>
          <t xml:space="preserve">       IF COMM-FACILTYPE = 496
          MOVE 'PCR' TO HV-PROCTRAN-TYPE
          MOVE COMM-ORIGIN(1:14) TO
             HV-PROCTRAN-DESC
       END-IF
    END-IF.
    MOVE COMM-AMT TO HV-PROCTRAN-AMOUNT.</t>
        </is>
      </c>
      <c r="G11" s="3" t="inlineStr">
        <is>
          <t>Decisão</t>
        </is>
      </c>
      <c r="H11" s="3" t="inlineStr">
        <is>
          <t>IF</t>
        </is>
      </c>
      <c r="I11" s="3" t="n"/>
      <c r="J11" s="8" t="n"/>
      <c r="K11" s="8" t="n"/>
      <c r="L11" s="8" t="inlineStr">
        <is>
          <t>A validar</t>
        </is>
      </c>
      <c r="M11" s="8" t="n"/>
    </row>
    <row r="12">
      <c r="A12" s="3" t="inlineStr">
        <is>
          <t>DBCRFUN-021</t>
        </is>
      </c>
      <c r="B12" s="3" t="inlineStr">
        <is>
          <t>DBCRFUN</t>
        </is>
      </c>
      <c r="C12" s="3" t="inlineStr">
        <is>
          <t>552</t>
        </is>
      </c>
      <c r="D12" s="3" t="inlineStr">
        <is>
          <t>554-559</t>
        </is>
      </c>
      <c r="E12" s="3" t="inlineStr">
        <is>
          <t>Check the SQLCODE</t>
        </is>
      </c>
      <c r="F12" s="7" t="inlineStr">
        <is>
          <t xml:space="preserve">    IF SQLCODE NOT = 0
       MOVE SQLCODE TO SQLCODE-DISPLAY
       DISPLAY 'UNABLE TO WRITE TO PROCTRAN DB2 DATASTORE'
       ' SQLCODE=' SQLCODE-DISPLAY
       'WITH THE FOLLOWING DATA:' HOST-PROCTRAN-ROW</t>
        </is>
      </c>
      <c r="G12" s="3" t="inlineStr">
        <is>
          <t>Decisão e falha</t>
        </is>
      </c>
      <c r="H12" s="3" t="inlineStr">
        <is>
          <t>IF, falha</t>
        </is>
      </c>
      <c r="I12" s="3" t="inlineStr">
        <is>
          <t>comentário curto</t>
        </is>
      </c>
      <c r="J12" s="8" t="n"/>
      <c r="K12" s="8" t="n"/>
      <c r="L12" s="8" t="inlineStr">
        <is>
          <t>A validar</t>
        </is>
      </c>
      <c r="M12" s="8" t="n"/>
    </row>
    <row r="13">
      <c r="A13" s="3" t="inlineStr">
        <is>
          <t>DBCRFUN-022</t>
        </is>
      </c>
      <c r="B13" s="3" t="inlineStr">
        <is>
          <t>DBCRFUN</t>
        </is>
      </c>
      <c r="C13" s="3" t="inlineStr">
        <is>
          <t>561-562</t>
        </is>
      </c>
      <c r="D13" s="3" t="inlineStr">
        <is>
          <t>564-569</t>
        </is>
      </c>
      <c r="E13" s="3" t="inlineStr">
        <is>
          <t>You need to issue a ROLLBACK to get rid of the updated ACCOUNT record</t>
        </is>
      </c>
      <c r="F13" s="7" t="inlineStr">
        <is>
          <t xml:space="preserve">       EXEC CICS SYNCPOINT ROLLBACK
          RESP(WS-CICS-RESP)
          RESP2(WS-CICS-RESP2)
       END-EXEC
       IF WS-CICS-RESP NOT = DFHRESP(NORMAL)</t>
        </is>
      </c>
      <c r="G13" s="3" t="inlineStr">
        <is>
          <t>Decisão e falha</t>
        </is>
      </c>
      <c r="H13" s="3" t="inlineStr">
        <is>
          <t>IF, falha</t>
        </is>
      </c>
      <c r="I13" s="3" t="n"/>
      <c r="J13" s="8" t="n"/>
      <c r="K13" s="8" t="n"/>
      <c r="L13" s="8" t="inlineStr">
        <is>
          <t>A validar</t>
        </is>
      </c>
      <c r="M13" s="8" t="n"/>
    </row>
    <row r="14">
      <c r="A14" s="3" t="inlineStr">
        <is>
          <t>DBCRFUN-023</t>
        </is>
      </c>
      <c r="B14" s="3" t="inlineStr">
        <is>
          <t>DBCRFUN</t>
        </is>
      </c>
      <c r="C14" s="3" t="inlineStr">
        <is>
          <t>571-574</t>
        </is>
      </c>
      <c r="D14" s="3" t="inlineStr">
        <is>
          <t>576-578</t>
        </is>
      </c>
      <c r="E14" s="3" t="inlineStr">
        <is>
          <t>Preserve the RESP and RESP2, then set up the standard ABEND info before getting the applid, date/time etc. and linking to the Abend Handler program.</t>
        </is>
      </c>
      <c r="F14" s="7" t="inlineStr">
        <is>
          <t xml:space="preserve">          INITIALIZE ABNDINFO-REC
          MOVE EIBRESP    TO ABND-RESPCODE
          MOVE EIBRESP2   TO ABND-RESP2CODE</t>
        </is>
      </c>
      <c r="G14" s="3" t="inlineStr">
        <is>
          <t>Falha</t>
        </is>
      </c>
      <c r="H14" s="3" t="inlineStr">
        <is>
          <t>falha</t>
        </is>
      </c>
      <c r="I14" s="3" t="n"/>
      <c r="J14" s="8" t="n"/>
      <c r="K14" s="8" t="n"/>
      <c r="L14" s="8" t="inlineStr">
        <is>
          <t>A validar</t>
        </is>
      </c>
      <c r="M14" s="8" t="n"/>
    </row>
    <row r="15">
      <c r="A15" s="3" t="inlineStr">
        <is>
          <t>DBCRFUN-027</t>
        </is>
      </c>
      <c r="B15" s="3" t="inlineStr">
        <is>
          <t>DBCRFUN</t>
        </is>
      </c>
      <c r="C15" s="3" t="inlineStr">
        <is>
          <t>671-672</t>
        </is>
      </c>
      <c r="D15" s="3" t="inlineStr">
        <is>
          <t>675-695</t>
        </is>
      </c>
      <c r="E15" s="3" t="inlineStr">
        <is>
          <t>Check if the Sqclode that is returned one that will trigger Storm Drain is active in Workload</t>
        </is>
      </c>
      <c r="F15" s="7" t="inlineStr">
        <is>
          <t xml:space="preserve">    EVALUATE SQLCODE
       WHEN 923
          MOVE 'DB2 Connection lost ' TO STORM-DRAIN-CONDITION
       WHEN OTHER
          MOVE 'Not Storm Drain     ' TO STORM-DRAIN-CONDITION
    END-EVALUATE.
    IF STORM-DRAIN-CONDITION NOT EQUAL 'Not Storm Drain     '
       DISPLAY 'DBCRFUN: Check-For-Storm-Drain-DB2: Storm '
               'Drain condition (' STORM-DRAIN-CONDITION ') '
               'has been met (' SQLCODE-DISPLAY ').'
    ELSE
       CONTINUE
    END-IF.
CFSDD999.
    EXIT.</t>
        </is>
      </c>
      <c r="G15" s="3" t="inlineStr">
        <is>
          <t>Decisão e falha</t>
        </is>
      </c>
      <c r="H15" s="3" t="inlineStr">
        <is>
          <t>IF, EVALUATE, WHEN, falha</t>
        </is>
      </c>
      <c r="I15" s="3" t="n"/>
      <c r="J15" s="8" t="n"/>
      <c r="K15" s="8" t="n"/>
      <c r="L15" s="8" t="inlineStr">
        <is>
          <t>A validar</t>
        </is>
      </c>
      <c r="M15" s="8" t="n"/>
    </row>
    <row r="16">
      <c r="A16" s="3" t="inlineStr">
        <is>
          <t>DBCRFUN-029</t>
        </is>
      </c>
      <c r="B16" s="3" t="inlineStr">
        <is>
          <t>DBCRFUN</t>
        </is>
      </c>
      <c r="C16" s="3" t="inlineStr">
        <is>
          <t>708-713</t>
        </is>
      </c>
      <c r="D16" s="3" t="inlineStr">
        <is>
          <t>716</t>
        </is>
      </c>
      <c r="E16" s="3" t="inlineStr">
        <is>
          <t>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is>
      </c>
      <c r="F16" s="7" t="inlineStr">
        <is>
          <t xml:space="preserve">    EVALUATE MY-ABEND-CODE</t>
        </is>
      </c>
      <c r="G16" s="3" t="inlineStr">
        <is>
          <t>Decisão</t>
        </is>
      </c>
      <c r="H16" s="3" t="inlineStr">
        <is>
          <t>EVALUATE</t>
        </is>
      </c>
      <c r="I16" s="3" t="n"/>
      <c r="J16" s="8" t="n"/>
      <c r="K16" s="8" t="n"/>
      <c r="L16" s="8" t="inlineStr">
        <is>
          <t>A validar</t>
        </is>
      </c>
      <c r="M16" s="8" t="n"/>
    </row>
    <row r="17">
      <c r="A17" s="3" t="inlineStr">
        <is>
          <t>DBCRFUN-030</t>
        </is>
      </c>
      <c r="B17" s="3" t="inlineStr">
        <is>
          <t>DBCRFUN</t>
        </is>
      </c>
      <c r="C17" s="3" t="inlineStr">
        <is>
          <t>718</t>
        </is>
      </c>
      <c r="D17" s="3" t="inlineStr">
        <is>
          <t>720-735</t>
        </is>
      </c>
      <c r="E17" s="3" t="inlineStr">
        <is>
          <t>DB2 AD2Z abend</t>
        </is>
      </c>
      <c r="F17" s="7" t="inlineStr">
        <is>
          <t xml:space="preserve">       WHEN 'AD2Z'
          MOVE SQLCODE TO SQLCODE-DISPLAY
          DISPLAY 'DB2 DEADLOCK DETECTED IN DBCRFUN, SQLCODE='
             SQLCODE-DISPLAY
          DISPLAY 'DB2 DEADLOCK FOR ACCOUNT '
            HV-ACCOUNT-ACC-NO
          DISPLAY  'SQLSTATE=' SQLSTATE
                 ',SQLERRMC=' SQLERRMC(1:SQLERRML)
                 ',SQLERRD(1)=' SQLERRD(1)
                 ',SQLERRD(2)=' SQLERRD(2)
                 ',SQLERRD(3)=' SQLERRD(3)
                 ',SQLERRD(4)=' SQLERRD(4)
                 ',SQLERRD(5)=' SQLERRD(5)
                 ',SQLERRD(6)=' SQLERRD(6)</t>
        </is>
      </c>
      <c r="G17" s="3" t="inlineStr">
        <is>
          <t>Decisão e falha</t>
        </is>
      </c>
      <c r="H17" s="3" t="inlineStr">
        <is>
          <t>WHEN, falha</t>
        </is>
      </c>
      <c r="I17" s="3" t="inlineStr">
        <is>
          <t>comentário curto</t>
        </is>
      </c>
      <c r="J17" s="8" t="n"/>
      <c r="K17" s="8" t="n"/>
      <c r="L17" s="8" t="inlineStr">
        <is>
          <t>A validar</t>
        </is>
      </c>
      <c r="M17" s="8" t="n"/>
    </row>
    <row r="18">
      <c r="A18" s="3" t="inlineStr">
        <is>
          <t>DBCRFUN-031</t>
        </is>
      </c>
      <c r="B18" s="3" t="inlineStr">
        <is>
          <t>DBCRFUN</t>
        </is>
      </c>
      <c r="C18" s="3" t="inlineStr">
        <is>
          <t>738-740</t>
        </is>
      </c>
      <c r="D18" s="3" t="inlineStr">
        <is>
          <t>742-756</t>
        </is>
      </c>
      <c r="E18" s="3" t="inlineStr">
        <is>
          <t>VSAM RLS abends, subject to CPSM WLM Storm Drain check if handled (as here) and Workload Abend Thresholds are set.</t>
        </is>
      </c>
      <c r="F18" s="7" t="inlineStr">
        <is>
          <t xml:space="preserve">       WHEN 'AFCR'
       WHEN 'AFCS'
       WHEN 'AFCT'
          MOVE 'Y' TO WS-STORM-DRAIN
          DISPLAY 'DBCRFUN: Check-For-Storm-Drain-VSAM: Storm '
                 'Drain condition (Abend ' MY-ABEND-CODE ') '
                 'has been met.'
          EXEC CICS SYNCPOINT
             ROLLBACK
             RESP(WS-CICS-RESP)
             RESP2(WS-CICS-RESP2)
          END-EXEC
          IF WS-CICS-RESP NOT = DFHRESP(NORMAL)</t>
        </is>
      </c>
      <c r="G18" s="3" t="inlineStr">
        <is>
          <t>Decisão e falha</t>
        </is>
      </c>
      <c r="H18" s="3" t="inlineStr">
        <is>
          <t>IF, WHEN, falha</t>
        </is>
      </c>
      <c r="I18" s="3" t="n"/>
      <c r="J18" s="8" t="n"/>
      <c r="K18" s="8" t="n"/>
      <c r="L18" s="8" t="inlineStr">
        <is>
          <t>A validar</t>
        </is>
      </c>
      <c r="M18" s="8" t="n"/>
    </row>
    <row r="19">
      <c r="A19" s="3" t="inlineStr">
        <is>
          <t>DBCRFUN-032</t>
        </is>
      </c>
      <c r="B19" s="3" t="inlineStr">
        <is>
          <t>DBCRFUN</t>
        </is>
      </c>
      <c r="C19" s="3" t="inlineStr">
        <is>
          <t>758-761</t>
        </is>
      </c>
      <c r="D19" s="3" t="inlineStr">
        <is>
          <t>763-765</t>
        </is>
      </c>
      <c r="E19" s="3" t="inlineStr">
        <is>
          <t>Preserve the RESP and RESP2, then set up the standard ABEND info before getting the applid, date/time etc. and linking to the Abend Handler program.</t>
        </is>
      </c>
      <c r="F19" s="7" t="inlineStr">
        <is>
          <t xml:space="preserve">             INITIALIZE ABNDINFO-REC
             MOVE EIBRESP    TO ABND-RESPCODE
             MOVE EIBRESP2   TO ABND-RESP2CODE</t>
        </is>
      </c>
      <c r="G19" s="3" t="inlineStr">
        <is>
          <t>Falha</t>
        </is>
      </c>
      <c r="H19" s="3" t="inlineStr">
        <is>
          <t>falha</t>
        </is>
      </c>
      <c r="I19" s="3" t="n"/>
      <c r="J19" s="8" t="n"/>
      <c r="K19" s="8" t="n"/>
      <c r="L19" s="8" t="inlineStr">
        <is>
          <t>A validar</t>
        </is>
      </c>
      <c r="M19" s="8" t="n"/>
    </row>
    <row r="20">
      <c r="A20" s="3" t="inlineStr">
        <is>
          <t>XFRFUN-001</t>
        </is>
      </c>
      <c r="B20" s="3" t="inlineStr">
        <is>
          <t>XFRFUN</t>
        </is>
      </c>
      <c r="C20" s="3" t="inlineStr">
        <is>
          <t>286-287</t>
        </is>
      </c>
      <c r="D20" s="3" t="inlineStr">
        <is>
          <t>289-296</t>
        </is>
      </c>
      <c r="E20" s="3" t="inlineStr">
        <is>
          <t>If the amount being transferred is negative, then flag this as a failure and finish.</t>
        </is>
      </c>
      <c r="F20" s="7" t="inlineStr">
        <is>
          <t xml:space="preserve">    IF COMM-AMT &lt;= ZERO
      MOVE 'N' TO COMM-SUCCESS
      MOVE '4' TO COMM-FAIL-CODE
      PERFORM GET-ME-OUT-OF-HERE
    END-IF.
    PERFORM UPDATE-ACCOUNT-DB2</t>
        </is>
      </c>
      <c r="G20" s="3" t="inlineStr">
        <is>
          <t>Decisão</t>
        </is>
      </c>
      <c r="H20" s="3" t="inlineStr">
        <is>
          <t>IF</t>
        </is>
      </c>
      <c r="I20" s="3" t="n"/>
      <c r="J20" s="8" t="n"/>
      <c r="K20" s="8" t="n"/>
      <c r="L20" s="8" t="inlineStr">
        <is>
          <t>A validar</t>
        </is>
      </c>
      <c r="M20" s="8" t="n"/>
    </row>
    <row r="21">
      <c r="A21" s="3" t="inlineStr">
        <is>
          <t>XFRFUN-003</t>
        </is>
      </c>
      <c r="B21" s="3" t="inlineStr">
        <is>
          <t>XFRFUN</t>
        </is>
      </c>
      <c r="C21" s="3" t="inlineStr">
        <is>
          <t>313-314</t>
        </is>
      </c>
      <c r="D21" s="3" t="inlineStr">
        <is>
          <t>316-317</t>
        </is>
      </c>
      <c r="E21" s="3" t="inlineStr">
        <is>
          <t>Are we trying to transfer from and to the same account? We don't allow that.</t>
        </is>
      </c>
      <c r="F21" s="7" t="inlineStr">
        <is>
          <t xml:space="preserve">    IF COMM-FACCNO = COMM-TACCNO
       AND COMM-FSCODE = COMM-TSCODE</t>
        </is>
      </c>
      <c r="G21" s="3" t="inlineStr">
        <is>
          <t>Decisão</t>
        </is>
      </c>
      <c r="H21" s="3" t="inlineStr">
        <is>
          <t>IF</t>
        </is>
      </c>
      <c r="I21" s="3" t="n"/>
      <c r="J21" s="8" t="n"/>
      <c r="K21" s="8" t="n"/>
      <c r="L21" s="8" t="inlineStr">
        <is>
          <t>A validar</t>
        </is>
      </c>
      <c r="M21" s="8" t="n"/>
    </row>
    <row r="22">
      <c r="A22" s="3" t="inlineStr">
        <is>
          <t>XFRFUN-004</t>
        </is>
      </c>
      <c r="B22" s="3" t="inlineStr">
        <is>
          <t>XFRFUN</t>
        </is>
      </c>
      <c r="C22" s="3" t="inlineStr">
        <is>
          <t>319-322</t>
        </is>
      </c>
      <c r="D22" s="3" t="inlineStr">
        <is>
          <t>324-326</t>
        </is>
      </c>
      <c r="E22" s="3" t="inlineStr">
        <is>
          <t>Preserve the RESP and RESP2, then set up the standard ABEND info before getting the applid, date/time etc. and linking to the Abend Handler program.</t>
        </is>
      </c>
      <c r="F22" s="7" t="inlineStr">
        <is>
          <t xml:space="preserve">       INITIALIZE ABNDINFO-REC
       MOVE EIBRESP    TO ABND-RESPCODE
       MOVE EIBRESP2   TO ABND-RESP2CODE</t>
        </is>
      </c>
      <c r="G22" s="3" t="inlineStr">
        <is>
          <t>Falha</t>
        </is>
      </c>
      <c r="H22" s="3" t="inlineStr">
        <is>
          <t>falha</t>
        </is>
      </c>
      <c r="I22" s="3" t="n"/>
      <c r="J22" s="8" t="n"/>
      <c r="K22" s="8" t="n"/>
      <c r="L22" s="8" t="inlineStr">
        <is>
          <t>A validar</t>
        </is>
      </c>
      <c r="M22" s="8" t="n"/>
    </row>
    <row r="23">
      <c r="A23" s="3" t="inlineStr">
        <is>
          <t>XFRFUN-008</t>
        </is>
      </c>
      <c r="B23" s="3" t="inlineStr">
        <is>
          <t>XFRFUN</t>
        </is>
      </c>
      <c r="C23" s="3" t="inlineStr">
        <is>
          <t>392</t>
        </is>
      </c>
      <c r="D23" s="3" t="inlineStr">
        <is>
          <t>394-398</t>
        </is>
      </c>
      <c r="E23" s="3" t="inlineStr">
        <is>
          <t>If the update was successful, update the TO account</t>
        </is>
      </c>
      <c r="F23" s="7" t="inlineStr">
        <is>
          <t xml:space="preserve">       IF COMM-SUCCESS = 'Y'
          MOVE COMM-TACCNO TO DESIRED-ACC-NO
          MOVE COMM-TSCODE TO DESIRED-SORT-CODE
          PERFORM UPDATE-ACCOUNT-DB2-TO</t>
        </is>
      </c>
      <c r="G23" s="3" t="inlineStr">
        <is>
          <t>Decisão</t>
        </is>
      </c>
      <c r="H23" s="3" t="inlineStr">
        <is>
          <t>IF</t>
        </is>
      </c>
      <c r="I23" s="3" t="n"/>
      <c r="J23" s="8" t="n"/>
      <c r="K23" s="8" t="n"/>
      <c r="L23" s="8" t="inlineStr">
        <is>
          <t>A validar</t>
        </is>
      </c>
      <c r="M23" s="8" t="n"/>
    </row>
    <row r="24">
      <c r="A24" s="3" t="inlineStr">
        <is>
          <t>XFRFUN-009</t>
        </is>
      </c>
      <c r="B24" s="3" t="inlineStr">
        <is>
          <t>XFRFUN</t>
        </is>
      </c>
      <c r="C24" s="3" t="inlineStr">
        <is>
          <t>401-402</t>
        </is>
      </c>
      <c r="D24" s="3" t="inlineStr">
        <is>
          <t>404-413</t>
        </is>
      </c>
      <c r="E24" s="3" t="inlineStr">
        <is>
          <t>If the update to the TO account was unsuccessful then we need to flag it and roll it back</t>
        </is>
      </c>
      <c r="F24" s="7" t="inlineStr">
        <is>
          <t xml:space="preserve">          IF COMM-SUCCESS = 'N'
             IF COMM-FAIL-CODE = '2'
                EXEC CICS SYNCPOINT
                   ROLLBACK
                   RESP(WS-CICS-RESP)
                   RESP2(WS-CICS-RESP2)
                END-EXEC
                IF WS-CICS-RESP IS NOT EQUAL TO DFHRESP(NORMAL)</t>
        </is>
      </c>
      <c r="G24" s="3" t="inlineStr">
        <is>
          <t>Decisão e falha</t>
        </is>
      </c>
      <c r="H24" s="3" t="inlineStr">
        <is>
          <t>IF, falha</t>
        </is>
      </c>
      <c r="I24" s="3" t="n"/>
      <c r="J24" s="8" t="n"/>
      <c r="K24" s="8" t="n"/>
      <c r="L24" s="8" t="inlineStr">
        <is>
          <t>A validar</t>
        </is>
      </c>
      <c r="M24" s="8" t="n"/>
    </row>
    <row r="25">
      <c r="A25" s="3" t="inlineStr">
        <is>
          <t>XFRFUN-010</t>
        </is>
      </c>
      <c r="B25" s="3" t="inlineStr">
        <is>
          <t>XFRFUN</t>
        </is>
      </c>
      <c r="C25" s="3" t="inlineStr">
        <is>
          <t>415-418</t>
        </is>
      </c>
      <c r="D25" s="3" t="inlineStr">
        <is>
          <t>420-422</t>
        </is>
      </c>
      <c r="E25" s="3" t="inlineStr">
        <is>
          <t>Preserve the RESP and RESP2, then set up the standard ABEND info before getting the applid, date/time etc. and linking to the Abend Handler program.</t>
        </is>
      </c>
      <c r="F25" s="7" t="inlineStr">
        <is>
          <t xml:space="preserve">                   INITIALIZE ABNDINFO-REC
                   MOVE EIBRESP    TO ABND-RESPCODE
                   MOVE EIBRESP2   TO ABND-RESP2CODE</t>
        </is>
      </c>
      <c r="G25" s="3" t="inlineStr">
        <is>
          <t>Falha</t>
        </is>
      </c>
      <c r="H25" s="3" t="inlineStr">
        <is>
          <t>falha</t>
        </is>
      </c>
      <c r="I25" s="3" t="n"/>
      <c r="J25" s="8" t="n"/>
      <c r="K25" s="8" t="n"/>
      <c r="L25" s="8" t="inlineStr">
        <is>
          <t>A validar</t>
        </is>
      </c>
      <c r="M25" s="8" t="n"/>
    </row>
    <row r="26">
      <c r="A26" s="3" t="inlineStr">
        <is>
          <t>XFRFUN-012</t>
        </is>
      </c>
      <c r="B26" s="3" t="inlineStr">
        <is>
          <t>XFRFUN</t>
        </is>
      </c>
      <c r="C26" s="3" t="inlineStr">
        <is>
          <t>483-484</t>
        </is>
      </c>
      <c r="D26" s="3" t="inlineStr">
        <is>
          <t>486-496</t>
        </is>
      </c>
      <c r="E26" s="3" t="inlineStr">
        <is>
          <t>If the COMM-FLAG is anything else other than 2 then abend.</t>
        </is>
      </c>
      <c r="F26" s="7" t="inlineStr">
        <is>
          <t xml:space="preserve">                DISPLAY 'Error updating TO account'
                EXEC CICS ABEND
                   ABCODE('TO  ')
                   NODUMP
                END-EXEC
             END-IF
          END-IF
       ELSE</t>
        </is>
      </c>
      <c r="G26" s="3" t="inlineStr">
        <is>
          <t>Falha</t>
        </is>
      </c>
      <c r="H26" s="3" t="inlineStr">
        <is>
          <t>falha</t>
        </is>
      </c>
      <c r="I26" s="3" t="n"/>
      <c r="J26" s="8" t="n"/>
      <c r="K26" s="8" t="n"/>
      <c r="L26" s="8" t="inlineStr">
        <is>
          <t>A validar</t>
        </is>
      </c>
      <c r="M26" s="8" t="n"/>
    </row>
    <row r="27">
      <c r="A27" s="3" t="inlineStr">
        <is>
          <t>XFRFUN-013</t>
        </is>
      </c>
      <c r="B27" s="3" t="inlineStr">
        <is>
          <t>XFRFUN</t>
        </is>
      </c>
      <c r="C27" s="3" t="inlineStr">
        <is>
          <t>498-499</t>
        </is>
      </c>
      <c r="D27" s="3" t="inlineStr">
        <is>
          <t>501-507</t>
        </is>
      </c>
      <c r="E27" s="3" t="inlineStr">
        <is>
          <t>If the update to the FROM account was not successful rollback.</t>
        </is>
      </c>
      <c r="F27" s="7" t="inlineStr">
        <is>
          <t xml:space="preserve">          IF COMM-FAIL-CODE = '1'
             EXEC CICS SYNCPOINT
                ROLLBACK
                RESP(WS-CICS-RESP)
                RESP2(WS-CICS-RESP2)
             END-EXEC</t>
        </is>
      </c>
      <c r="G27" s="3" t="inlineStr">
        <is>
          <t>Decisão</t>
        </is>
      </c>
      <c r="H27" s="3" t="inlineStr">
        <is>
          <t>IF</t>
        </is>
      </c>
      <c r="I27" s="3" t="n"/>
      <c r="J27" s="8" t="n"/>
      <c r="K27" s="8" t="n"/>
      <c r="L27" s="8" t="inlineStr">
        <is>
          <t>A validar</t>
        </is>
      </c>
      <c r="M27" s="8" t="n"/>
    </row>
    <row r="28">
      <c r="A28" s="3" t="inlineStr">
        <is>
          <t>XFRFUN-014</t>
        </is>
      </c>
      <c r="B28" s="3" t="inlineStr">
        <is>
          <t>XFRFUN</t>
        </is>
      </c>
      <c r="C28" s="3" t="inlineStr">
        <is>
          <t>510</t>
        </is>
      </c>
      <c r="D28" s="3" t="inlineStr">
        <is>
          <t>512-526</t>
        </is>
      </c>
      <c r="E28" s="3" t="inlineStr">
        <is>
          <t>If the ROLLback failed</t>
        </is>
      </c>
      <c r="F28" s="7" t="inlineStr">
        <is>
          <t xml:space="preserve">             IF WS-CICS-RESP IS NOT EQUAL TO DFHRESP(NORMAL)
                DISPLAY 'XFRFUN error syncpoint '
                   ' rollback after '
                   'updating FROM account '
                   ',RESP=' WS-CICS-RESP
                   ',RESP2=' WS-CICS-RESP2
                EXEC CICS ABEND
                   ABCODE('HROL')
                   NODUMP
                END-EXEC
             END-IF
             GO TO UAD999
          ELSE</t>
        </is>
      </c>
      <c r="G28" s="3" t="inlineStr">
        <is>
          <t>Decisão e falha</t>
        </is>
      </c>
      <c r="H28" s="3" t="inlineStr">
        <is>
          <t>IF, falha</t>
        </is>
      </c>
      <c r="I28" s="3" t="n"/>
      <c r="J28" s="8" t="n"/>
      <c r="K28" s="8" t="n"/>
      <c r="L28" s="8" t="inlineStr">
        <is>
          <t>A validar</t>
        </is>
      </c>
      <c r="M28" s="8" t="n"/>
    </row>
    <row r="29">
      <c r="A29" s="3" t="inlineStr">
        <is>
          <t>XFRFUN-015</t>
        </is>
      </c>
      <c r="B29" s="3" t="inlineStr">
        <is>
          <t>XFRFUN</t>
        </is>
      </c>
      <c r="C29" s="3" t="inlineStr">
        <is>
          <t>528-531</t>
        </is>
      </c>
      <c r="D29" s="3" t="inlineStr">
        <is>
          <t>533-535</t>
        </is>
      </c>
      <c r="E29" s="3" t="inlineStr">
        <is>
          <t>Preserve the RESP and RESP2, then set up the standard ABEND info before getting the applid, date/time etc. and linking to the Abend Handler program.</t>
        </is>
      </c>
      <c r="F29" s="7" t="inlineStr">
        <is>
          <t xml:space="preserve">             INITIALIZE ABNDINFO-REC
             MOVE EIBRESP    TO ABND-RESPCODE
             MOVE EIBRESP2   TO ABND-RESP2CODE</t>
        </is>
      </c>
      <c r="G29" s="3" t="inlineStr">
        <is>
          <t>Falha</t>
        </is>
      </c>
      <c r="H29" s="3" t="inlineStr">
        <is>
          <t>falha</t>
        </is>
      </c>
      <c r="I29" s="3" t="n"/>
      <c r="J29" s="8" t="n"/>
      <c r="K29" s="8" t="n"/>
      <c r="L29" s="8" t="inlineStr">
        <is>
          <t>A validar</t>
        </is>
      </c>
      <c r="M29" s="8" t="n"/>
    </row>
    <row r="30">
      <c r="A30" s="3" t="inlineStr">
        <is>
          <t>XFRFUN-019</t>
        </is>
      </c>
      <c r="B30" s="3" t="inlineStr">
        <is>
          <t>XFRFUN</t>
        </is>
      </c>
      <c r="C30" s="3" t="inlineStr">
        <is>
          <t>603-604</t>
        </is>
      </c>
      <c r="D30" s="3" t="inlineStr">
        <is>
          <t>606-610</t>
        </is>
      </c>
      <c r="E30" s="3" t="inlineStr">
        <is>
          <t>If the update to the TO account was successful then update the FROM account</t>
        </is>
      </c>
      <c r="F30" s="7" t="inlineStr">
        <is>
          <t xml:space="preserve">       IF COMM-SUCCESS = 'Y'
          MOVE COMM-FACCNO TO DESIRED-ACC-NO
          MOVE COMM-FSCODE TO DESIRED-SORT-CODE
          PERFORM UPDATE-ACCOUNT-DB2-FROM</t>
        </is>
      </c>
      <c r="G30" s="3" t="inlineStr">
        <is>
          <t>Decisão</t>
        </is>
      </c>
      <c r="H30" s="3" t="inlineStr">
        <is>
          <t>IF</t>
        </is>
      </c>
      <c r="I30" s="3" t="n"/>
      <c r="J30" s="8" t="n"/>
      <c r="K30" s="8" t="n"/>
      <c r="L30" s="8" t="inlineStr">
        <is>
          <t>A validar</t>
        </is>
      </c>
      <c r="M30" s="8" t="n"/>
    </row>
    <row r="31">
      <c r="A31" s="3" t="inlineStr">
        <is>
          <t>XFRFUN-020</t>
        </is>
      </c>
      <c r="B31" s="3" t="inlineStr">
        <is>
          <t>XFRFUN</t>
        </is>
      </c>
      <c r="C31" s="3" t="inlineStr">
        <is>
          <t>613</t>
        </is>
      </c>
      <c r="D31" s="3" t="inlineStr">
        <is>
          <t>615-617</t>
        </is>
      </c>
      <c r="E31" s="3" t="inlineStr">
        <is>
          <t>Did the update to the FROM account work?</t>
        </is>
      </c>
      <c r="F31" s="7" t="inlineStr">
        <is>
          <t xml:space="preserve">          IF COMM-SUCCESS = 'N'
             IF COMM-FAIL-CODE NOT = '1'</t>
        </is>
      </c>
      <c r="G31" s="3" t="inlineStr">
        <is>
          <t>Decisão</t>
        </is>
      </c>
      <c r="H31" s="3" t="inlineStr">
        <is>
          <t>IF</t>
        </is>
      </c>
      <c r="I31" s="3" t="n"/>
      <c r="J31" s="8" t="n"/>
      <c r="K31" s="8" t="n"/>
      <c r="L31" s="8" t="inlineStr">
        <is>
          <t>A validar</t>
        </is>
      </c>
      <c r="M31" s="8" t="n"/>
    </row>
    <row r="32">
      <c r="A32" s="3" t="inlineStr">
        <is>
          <t>XFRFUN-021</t>
        </is>
      </c>
      <c r="B32" s="3" t="inlineStr">
        <is>
          <t>XFRFUN</t>
        </is>
      </c>
      <c r="C32" s="3" t="inlineStr">
        <is>
          <t>619-622</t>
        </is>
      </c>
      <c r="D32" s="3" t="inlineStr">
        <is>
          <t>624-626</t>
        </is>
      </c>
      <c r="E32" s="3" t="inlineStr">
        <is>
          <t>Preserve the RESP and RESP2, then set up the standard ABEND info before getting the applid, date/time etc. and linking to the Abend Handler program.</t>
        </is>
      </c>
      <c r="F32" s="7" t="inlineStr">
        <is>
          <t xml:space="preserve">                INITIALIZE ABNDINFO-REC
                MOVE EIBRESP    TO ABND-RESPCODE
                MOVE EIBRESP2   TO ABND-RESP2CODE</t>
        </is>
      </c>
      <c r="G32" s="3" t="inlineStr">
        <is>
          <t>Falha</t>
        </is>
      </c>
      <c r="H32" s="3" t="inlineStr">
        <is>
          <t>falha</t>
        </is>
      </c>
      <c r="I32" s="3" t="n"/>
      <c r="J32" s="8" t="n"/>
      <c r="K32" s="8" t="n"/>
      <c r="L32" s="8" t="inlineStr">
        <is>
          <t>A validar</t>
        </is>
      </c>
      <c r="M32" s="8" t="n"/>
    </row>
    <row r="33">
      <c r="A33" s="3" t="inlineStr">
        <is>
          <t>XFRFUN-024</t>
        </is>
      </c>
      <c r="B33" s="3" t="inlineStr">
        <is>
          <t>XFRFUN</t>
        </is>
      </c>
      <c r="C33" s="3" t="inlineStr">
        <is>
          <t>685</t>
        </is>
      </c>
      <c r="D33" s="3" t="inlineStr">
        <is>
          <t>687</t>
        </is>
      </c>
      <c r="E33" s="3" t="inlineStr">
        <is>
          <t>If that rollback didn't work</t>
        </is>
      </c>
      <c r="F33" s="7" t="inlineStr">
        <is>
          <t xml:space="preserve">                IF WS-CICS-RESP IS NOT EQUAL TO DFHRESP(NORMAL)</t>
        </is>
      </c>
      <c r="G33" s="3" t="inlineStr">
        <is>
          <t>Decisão e falha</t>
        </is>
      </c>
      <c r="H33" s="3" t="inlineStr">
        <is>
          <t>IF, falha</t>
        </is>
      </c>
      <c r="I33" s="3" t="n"/>
      <c r="J33" s="8" t="n"/>
      <c r="K33" s="8" t="n"/>
      <c r="L33" s="8" t="inlineStr">
        <is>
          <t>A validar</t>
        </is>
      </c>
      <c r="M33" s="8" t="n"/>
    </row>
    <row r="34">
      <c r="A34" s="3" t="inlineStr">
        <is>
          <t>XFRFUN-025</t>
        </is>
      </c>
      <c r="B34" s="3" t="inlineStr">
        <is>
          <t>XFRFUN</t>
        </is>
      </c>
      <c r="C34" s="3" t="inlineStr">
        <is>
          <t>689-692</t>
        </is>
      </c>
      <c r="D34" s="3" t="inlineStr">
        <is>
          <t>694-696</t>
        </is>
      </c>
      <c r="E34" s="3" t="inlineStr">
        <is>
          <t>Preserve the RESP and RESP2, then set up the standard ABEND info before getting the applid, date/time etc. and linking to the Abend Handler program.</t>
        </is>
      </c>
      <c r="F34" s="7" t="inlineStr">
        <is>
          <t xml:space="preserve">                   INITIALIZE ABNDINFO-REC
                   MOVE EIBRESP    TO ABND-RESPCODE
                   MOVE EIBRESP2   TO ABND-RESP2CODE</t>
        </is>
      </c>
      <c r="G34" s="3" t="inlineStr">
        <is>
          <t>Falha</t>
        </is>
      </c>
      <c r="H34" s="3" t="inlineStr">
        <is>
          <t>falha</t>
        </is>
      </c>
      <c r="I34" s="3" t="n"/>
      <c r="J34" s="8" t="n"/>
      <c r="K34" s="8" t="n"/>
      <c r="L34" s="8" t="inlineStr">
        <is>
          <t>A validar</t>
        </is>
      </c>
      <c r="M34" s="8" t="n"/>
    </row>
    <row r="35">
      <c r="A35" s="3" t="inlineStr">
        <is>
          <t>XFRFUN-027</t>
        </is>
      </c>
      <c r="B35" s="3" t="inlineStr">
        <is>
          <t>XFRFUN</t>
        </is>
      </c>
      <c r="C35" s="3" t="inlineStr">
        <is>
          <t>763-764</t>
        </is>
      </c>
      <c r="D35" s="3" t="inlineStr">
        <is>
          <t>766</t>
        </is>
      </c>
      <c r="E35" s="3" t="inlineStr">
        <is>
          <t>If the update to the TO account was NOT successful &amp; the fail code isn't = '2'</t>
        </is>
      </c>
      <c r="F35" s="7" t="inlineStr">
        <is>
          <t xml:space="preserve">          IF COMM-FAIL-CODE NOT = '2'</t>
        </is>
      </c>
      <c r="G35" s="3" t="inlineStr">
        <is>
          <t>Decisão</t>
        </is>
      </c>
      <c r="H35" s="3" t="inlineStr">
        <is>
          <t>IF</t>
        </is>
      </c>
      <c r="I35" s="3" t="n"/>
      <c r="J35" s="8" t="n"/>
      <c r="K35" s="8" t="n"/>
      <c r="L35" s="8" t="inlineStr">
        <is>
          <t>A validar</t>
        </is>
      </c>
      <c r="M35" s="8" t="n"/>
    </row>
    <row r="36">
      <c r="A36" s="3" t="inlineStr">
        <is>
          <t>XFRFUN-028</t>
        </is>
      </c>
      <c r="B36" s="3" t="inlineStr">
        <is>
          <t>XFRFUN</t>
        </is>
      </c>
      <c r="C36" s="3" t="inlineStr">
        <is>
          <t>768-771</t>
        </is>
      </c>
      <c r="D36" s="3" t="inlineStr">
        <is>
          <t>773-775</t>
        </is>
      </c>
      <c r="E36" s="3" t="inlineStr">
        <is>
          <t>Preserve the RESP and RESP2, then set up the standard ABEND info before getting the applid, date/time etc. and linking to the Abend Handler program.</t>
        </is>
      </c>
      <c r="F36" s="7" t="inlineStr">
        <is>
          <t xml:space="preserve">             INITIALIZE ABNDINFO-REC
             MOVE EIBRESP    TO ABND-RESPCODE
             MOVE EIBRESP2   TO ABND-RESP2CODE</t>
        </is>
      </c>
      <c r="G36" s="3" t="inlineStr">
        <is>
          <t>Falha</t>
        </is>
      </c>
      <c r="H36" s="3" t="inlineStr">
        <is>
          <t>falha</t>
        </is>
      </c>
      <c r="I36" s="3" t="n"/>
      <c r="J36" s="8" t="n"/>
      <c r="K36" s="8" t="n"/>
      <c r="L36" s="8" t="inlineStr">
        <is>
          <t>A validar</t>
        </is>
      </c>
      <c r="M36" s="8" t="n"/>
    </row>
    <row r="37">
      <c r="A37" s="3" t="inlineStr">
        <is>
          <t>XFRFUN-030</t>
        </is>
      </c>
      <c r="B37" s="3" t="inlineStr">
        <is>
          <t>XFRFUN</t>
        </is>
      </c>
      <c r="C37" s="3" t="inlineStr">
        <is>
          <t>834-837</t>
        </is>
      </c>
      <c r="D37" s="3" t="inlineStr">
        <is>
          <t>839-841</t>
        </is>
      </c>
      <c r="E37" s="3" t="inlineStr">
        <is>
          <t>Preserve the RESP and RESP2, then set up the standard ABEND info before getting the applid, date/time etc. and linking to the Abend Handler program.</t>
        </is>
      </c>
      <c r="F37" s="7" t="inlineStr">
        <is>
          <t xml:space="preserve">                INITIALIZE ABNDINFO-REC
                MOVE EIBRESP    TO ABND-RESPCODE
                MOVE EIBRESP2   TO ABND-RESP2CODE</t>
        </is>
      </c>
      <c r="G37" s="3" t="inlineStr">
        <is>
          <t>Falha</t>
        </is>
      </c>
      <c r="H37" s="3" t="inlineStr">
        <is>
          <t>falha</t>
        </is>
      </c>
      <c r="I37" s="3" t="n"/>
      <c r="J37" s="8" t="n"/>
      <c r="K37" s="8" t="n"/>
      <c r="L37" s="8" t="inlineStr">
        <is>
          <t>A validar</t>
        </is>
      </c>
      <c r="M37" s="8" t="n"/>
    </row>
    <row r="38">
      <c r="A38" s="3" t="inlineStr">
        <is>
          <t>XFRFUN-034</t>
        </is>
      </c>
      <c r="B38" s="3" t="inlineStr">
        <is>
          <t>XFRFUN</t>
        </is>
      </c>
      <c r="C38" s="3" t="inlineStr">
        <is>
          <t>961-962</t>
        </is>
      </c>
      <c r="D38" s="3" t="inlineStr">
        <is>
          <t>964-971</t>
        </is>
      </c>
      <c r="E38" s="3" t="inlineStr">
        <is>
          <t>Check that select was successful. If it wasn't then set the COMMAREA return flags accordingly.</t>
        </is>
      </c>
      <c r="F38" s="7" t="inlineStr">
        <is>
          <t xml:space="preserve">    IF SQLCODE NOT = 0
       MOVE 'N' TO COMM-SUCCESS
       IF SQLCODE = +100
          MOVE '1' TO COMM-FAIL-CODE
       ELSE
          MOVE '3' TO COMM-FAIL-CODE
       END-IF</t>
        </is>
      </c>
      <c r="G38" s="3" t="inlineStr">
        <is>
          <t>Decisão e falha</t>
        </is>
      </c>
      <c r="H38" s="3" t="inlineStr">
        <is>
          <t>IF, falha</t>
        </is>
      </c>
      <c r="I38" s="3" t="n"/>
      <c r="J38" s="8" t="n"/>
      <c r="K38" s="8" t="n"/>
      <c r="L38" s="8" t="inlineStr">
        <is>
          <t>A validar</t>
        </is>
      </c>
      <c r="M38" s="8" t="n"/>
    </row>
    <row r="39">
      <c r="A39" s="3" t="inlineStr">
        <is>
          <t>XFRFUN-037</t>
        </is>
      </c>
      <c r="B39" s="3" t="inlineStr">
        <is>
          <t>XFRFUN</t>
        </is>
      </c>
      <c r="C39" s="3" t="inlineStr">
        <is>
          <t>1011-1012</t>
        </is>
      </c>
      <c r="D39" s="3" t="inlineStr">
        <is>
          <t>1014-1017</t>
        </is>
      </c>
      <c r="E39" s="3" t="inlineStr">
        <is>
          <t>If the RESP CODE was NOT OK then we need to indicate a failure</t>
        </is>
      </c>
      <c r="F39" s="7" t="inlineStr">
        <is>
          <t xml:space="preserve">    IF SQLCODE NOT = 0
       MOVE 'N' TO COMM-SUCCESS
       MOVE '3' TO COMM-FAIL-CODE</t>
        </is>
      </c>
      <c r="G39" s="3" t="inlineStr">
        <is>
          <t>Decisão e falha</t>
        </is>
      </c>
      <c r="H39" s="3" t="inlineStr">
        <is>
          <t>IF, falha</t>
        </is>
      </c>
      <c r="I39" s="3" t="n"/>
      <c r="J39" s="8" t="n"/>
      <c r="K39" s="8" t="n"/>
      <c r="L39" s="8" t="inlineStr">
        <is>
          <t>A validar</t>
        </is>
      </c>
      <c r="M39" s="8" t="n"/>
    </row>
    <row r="40">
      <c r="A40" s="3" t="inlineStr">
        <is>
          <t>XFRFUN-041</t>
        </is>
      </c>
      <c r="B40" s="3" t="inlineStr">
        <is>
          <t>XFRFUN</t>
        </is>
      </c>
      <c r="C40" s="3" t="inlineStr">
        <is>
          <t>1088-1089</t>
        </is>
      </c>
      <c r="D40" s="3" t="inlineStr">
        <is>
          <t>1091-1092</t>
        </is>
      </c>
      <c r="E40" s="3" t="inlineStr">
        <is>
          <t>Check that SELECT was successful. If it wasn't then set the return flags accordingly.</t>
        </is>
      </c>
      <c r="F40" s="7" t="inlineStr">
        <is>
          <t xml:space="preserve">    IF SQLCODE NOT = 0
       MOVE 'N' TO COMM-SUCCESS</t>
        </is>
      </c>
      <c r="G40" s="3" t="inlineStr">
        <is>
          <t>Decisão e falha</t>
        </is>
      </c>
      <c r="H40" s="3" t="inlineStr">
        <is>
          <t>IF, falha</t>
        </is>
      </c>
      <c r="I40" s="3" t="n"/>
      <c r="J40" s="8" t="n"/>
      <c r="K40" s="8" t="n"/>
      <c r="L40" s="8" t="inlineStr">
        <is>
          <t>A validar</t>
        </is>
      </c>
      <c r="M40" s="8" t="n"/>
    </row>
    <row r="41">
      <c r="A41" s="3" t="inlineStr">
        <is>
          <t>XFRFUN-043</t>
        </is>
      </c>
      <c r="B41" s="3" t="inlineStr">
        <is>
          <t>XFRFUN</t>
        </is>
      </c>
      <c r="C41" s="3" t="inlineStr">
        <is>
          <t>1100</t>
        </is>
      </c>
      <c r="D41" s="3" t="inlineStr">
        <is>
          <t>1102-1116</t>
        </is>
      </c>
      <c r="E41" s="3" t="inlineStr">
        <is>
          <t>If the TO account was not found</t>
        </is>
      </c>
      <c r="F41" s="7" t="inlineStr">
        <is>
          <t xml:space="preserve">       IF SQLCODE = +100
          MOVE '2' TO COMM-FAIL-CODE
          MOVE SQLCODE TO SQLCODE-DISPLAY
          DISPLAY 'UPDATE UNABLE TO READ TO ACC'
             HV-ACCOUNT-SORTCODE '/' HV-ACCOUNT-ACC-NO
             ' ROLLBACK TO AVOID DATA INCONSISTENCY.'
             'SQLCODE=' SQLCODE-DISPLAY
          EXEC CICS SYNCPOINT ROLLBACK
            RESP(WS-CICS-RESP)
            RESP2(WS-CICS-RESP2)
          END-EXEC
          IF WS-CICS-RESP IS NOT EQUAL TO DFHRESP(NORMAL)</t>
        </is>
      </c>
      <c r="G41" s="3" t="inlineStr">
        <is>
          <t>Decisão e falha</t>
        </is>
      </c>
      <c r="H41" s="3" t="inlineStr">
        <is>
          <t>IF, falha</t>
        </is>
      </c>
      <c r="I41" s="3" t="n"/>
      <c r="J41" s="8" t="n"/>
      <c r="K41" s="8" t="n"/>
      <c r="L41" s="8" t="inlineStr">
        <is>
          <t>A validar</t>
        </is>
      </c>
      <c r="M41" s="8" t="n"/>
    </row>
    <row r="42">
      <c r="A42" s="3" t="inlineStr">
        <is>
          <t>XFRFUN-044</t>
        </is>
      </c>
      <c r="B42" s="3" t="inlineStr">
        <is>
          <t>XFRFUN</t>
        </is>
      </c>
      <c r="C42" s="3" t="inlineStr">
        <is>
          <t>1118-1121</t>
        </is>
      </c>
      <c r="D42" s="3" t="inlineStr">
        <is>
          <t>1123-1125</t>
        </is>
      </c>
      <c r="E42" s="3" t="inlineStr">
        <is>
          <t>Preserve the RESP and RESP2, then set up the standard ABEND info before getting the applid, date/time etc. and linking to the Abend Handler program.</t>
        </is>
      </c>
      <c r="F42" s="7" t="inlineStr">
        <is>
          <t xml:space="preserve">             INITIALIZE ABNDINFO-REC
             MOVE EIBRESP    TO ABND-RESPCODE
             MOVE EIBRESP2   TO ABND-RESP2CODE</t>
        </is>
      </c>
      <c r="G42" s="3" t="inlineStr">
        <is>
          <t>Falha</t>
        </is>
      </c>
      <c r="H42" s="3" t="inlineStr">
        <is>
          <t>falha</t>
        </is>
      </c>
      <c r="I42" s="3" t="n"/>
      <c r="J42" s="8" t="n"/>
      <c r="K42" s="8" t="n"/>
      <c r="L42" s="8" t="inlineStr">
        <is>
          <t>A validar</t>
        </is>
      </c>
      <c r="M42" s="8" t="n"/>
    </row>
    <row r="43">
      <c r="A43" s="3" t="inlineStr">
        <is>
          <t>XFRFUN-046</t>
        </is>
      </c>
      <c r="B43" s="3" t="inlineStr">
        <is>
          <t>XFRFUN</t>
        </is>
      </c>
      <c r="C43" s="3" t="inlineStr">
        <is>
          <t>1185-1186</t>
        </is>
      </c>
      <c r="D43" s="3" t="inlineStr">
        <is>
          <t>1188-1211</t>
        </is>
      </c>
      <c r="E43" s="3" t="inlineStr">
        <is>
          <t>If the failure isn't down to the row NOT being found (it failed for some other reason)</t>
        </is>
      </c>
      <c r="F43" s="7" t="inlineStr">
        <is>
          <t xml:space="preserve">          MOVE '3' TO COMM-FAIL-CODE
          MOVE SQLCODE TO SQLCODE-DISPLAY
          DISPLAY 'UPDATE UNABLE TO READ TO ACC'
             HV-ACCOUNT-SORTCODE HV-ACCOUNT-ACC-NO
             ' ABENDING TO AVOID DATA INCONSISTENCY. SQLCODE='
             SQLCODE-DISPLAY
             ' SQLERRD(3) IS ' SQLERRD(3)
          IF SQLCODE = -911
             IF SQLERRD(3) = 13172872
                DISPLAY 'DEADLOCK DETECTED!'
                ADD 1 TO DB2-DEADLOCK-RETRY
                IF DB2-DEADLOCK-RETRY &lt; 6
                   EXEC CICS SYNCPOINT
                      ROLLBACK
                      RESP(WS-CICS-RESP)
                      RESP2(WS-CICS-RESP2)
                   END-EXEC
                   IF WS-CICS-RESP IS NOT EQUAL TO
                   DFHRESP(NORMAL)</t>
        </is>
      </c>
      <c r="G43" s="3" t="inlineStr">
        <is>
          <t>Decisão e falha</t>
        </is>
      </c>
      <c r="H43" s="3" t="inlineStr">
        <is>
          <t>IF, falha</t>
        </is>
      </c>
      <c r="I43" s="3" t="n"/>
      <c r="J43" s="8" t="n"/>
      <c r="K43" s="8" t="n"/>
      <c r="L43" s="8" t="inlineStr">
        <is>
          <t>A validar</t>
        </is>
      </c>
      <c r="M43" s="8" t="n"/>
    </row>
    <row r="44">
      <c r="A44" s="3" t="inlineStr">
        <is>
          <t>XFRFUN-047</t>
        </is>
      </c>
      <c r="B44" s="3" t="inlineStr">
        <is>
          <t>XFRFUN</t>
        </is>
      </c>
      <c r="C44" s="3" t="inlineStr">
        <is>
          <t>1214-1217</t>
        </is>
      </c>
      <c r="D44" s="3" t="inlineStr">
        <is>
          <t>1219-1221</t>
        </is>
      </c>
      <c r="E44" s="3" t="inlineStr">
        <is>
          <t>Preserve the RESP and RESP2, then set up the standard ABEND info before getting the applid, date/time etc. and link to the Abend Handler program.</t>
        </is>
      </c>
      <c r="F44" s="7" t="inlineStr">
        <is>
          <t xml:space="preserve">                      INITIALIZE ABNDINFO-REC
                      MOVE EIBRESP    TO ABND-RESPCODE
                      MOVE EIBRESP2   TO ABND-RESP2CODE</t>
        </is>
      </c>
      <c r="G44" s="3" t="inlineStr">
        <is>
          <t>Falha</t>
        </is>
      </c>
      <c r="H44" s="3" t="inlineStr">
        <is>
          <t>falha</t>
        </is>
      </c>
      <c r="I44" s="3" t="n"/>
      <c r="J44" s="8" t="n"/>
      <c r="K44" s="8" t="n"/>
      <c r="L44" s="8" t="inlineStr">
        <is>
          <t>A validar</t>
        </is>
      </c>
      <c r="M44" s="8" t="n"/>
    </row>
    <row r="45">
      <c r="A45" s="3" t="inlineStr">
        <is>
          <t>XFRFUN-049</t>
        </is>
      </c>
      <c r="B45" s="3" t="inlineStr">
        <is>
          <t>XFRFUN</t>
        </is>
      </c>
      <c r="C45" s="3" t="inlineStr">
        <is>
          <t>1293-1296</t>
        </is>
      </c>
      <c r="D45" s="3" t="inlineStr">
        <is>
          <t>1298-1300</t>
        </is>
      </c>
      <c r="E45" s="3" t="inlineStr">
        <is>
          <t>Preserve the RESP and RESP2, then set up the standard ABEND info before getting the applid, date/time etc. and linking to the Abend Handler program.</t>
        </is>
      </c>
      <c r="F45" s="7" t="inlineStr">
        <is>
          <t xml:space="preserve">             INITIALIZE ABNDINFO-REC
             MOVE EIBRESP    TO ABND-RESPCODE
             MOVE EIBRESP2   TO ABND-RESP2CODE</t>
        </is>
      </c>
      <c r="G45" s="3" t="inlineStr">
        <is>
          <t>Falha</t>
        </is>
      </c>
      <c r="H45" s="3" t="inlineStr">
        <is>
          <t>falha</t>
        </is>
      </c>
      <c r="I45" s="3" t="n"/>
      <c r="J45" s="8" t="n"/>
      <c r="K45" s="8" t="n"/>
      <c r="L45" s="8" t="inlineStr">
        <is>
          <t>A validar</t>
        </is>
      </c>
      <c r="M45" s="8" t="n"/>
    </row>
    <row r="46">
      <c r="A46" s="3" t="inlineStr">
        <is>
          <t>XFRFUN-050</t>
        </is>
      </c>
      <c r="B46" s="3" t="inlineStr">
        <is>
          <t>XFRFUN</t>
        </is>
      </c>
      <c r="C46" s="3" t="inlineStr">
        <is>
          <t>1302</t>
        </is>
      </c>
      <c r="D46" s="3" t="inlineStr">
        <is>
          <t>1304-1342</t>
        </is>
      </c>
      <c r="E46" s="3" t="inlineStr">
        <is>
          <t>Get supplemental information</t>
        </is>
      </c>
      <c r="F46"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13172894
                STRING 'UAD010-TO(3) - timeout detected '
                   DELIMITED BY SIZE,
                   ' EIBRESP=' DELIMITED BY SIZE,
                   ABND-RESPCODE DELIMITED BY SIZE,
                   'RESP2=' DELIMITED BY SIZE,
                   ABND-RESP2CODE DELIMITED BY SIZE
                   INTO ABND-FREEFORM
                END-STRING
             END-IF
             EXEC CICS LINK PROGRAM(WS-ABEND-PGM)
                    COMMAREA(ABNDINFO-REC)</t>
        </is>
      </c>
      <c r="G46" s="3" t="inlineStr">
        <is>
          <t>Decisão</t>
        </is>
      </c>
      <c r="H46" s="3" t="inlineStr">
        <is>
          <t>IF</t>
        </is>
      </c>
      <c r="I46" s="3" t="inlineStr">
        <is>
          <t>comentário curto; trecho truncado (30 linhas)</t>
        </is>
      </c>
      <c r="J46" s="8" t="n"/>
      <c r="K46" s="8" t="n"/>
      <c r="L46" s="8" t="inlineStr">
        <is>
          <t>A validar</t>
        </is>
      </c>
      <c r="M46" s="8" t="n"/>
    </row>
    <row r="47">
      <c r="A47" s="3" t="inlineStr">
        <is>
          <t>XFRFUN-052</t>
        </is>
      </c>
      <c r="B47" s="3" t="inlineStr">
        <is>
          <t>XFRFUN</t>
        </is>
      </c>
      <c r="C47" s="3" t="inlineStr">
        <is>
          <t>1382</t>
        </is>
      </c>
      <c r="D47" s="3" t="inlineStr">
        <is>
          <t>1384-1389</t>
        </is>
      </c>
      <c r="E47" s="3" t="inlineStr">
        <is>
          <t>If the RESP CODE was NOT OK then we need to abend</t>
        </is>
      </c>
      <c r="F47" s="7" t="inlineStr">
        <is>
          <t xml:space="preserve">    IF SQLCODE NOT = 0
       MOVE SQLCODE TO SQLCODE-DISPLAY
       DISPLAY 'UNABLE TO UPDATE TO ACCOUNT.'
          HV-ACCOUNT-SORTCODE HV-ACCOUNT-ACC-NO
          'THE SQLCODE=' SQLCODE-DISPLAY
          ' SQLERRD(3) ' SQLERRD(3)</t>
        </is>
      </c>
      <c r="G47" s="3" t="inlineStr">
        <is>
          <t>Decisão e falha</t>
        </is>
      </c>
      <c r="H47" s="3" t="inlineStr">
        <is>
          <t>IF, falha</t>
        </is>
      </c>
      <c r="I47" s="3" t="n"/>
      <c r="J47" s="8" t="n"/>
      <c r="K47" s="8" t="n"/>
      <c r="L47" s="8" t="inlineStr">
        <is>
          <t>A validar</t>
        </is>
      </c>
      <c r="M47" s="8" t="n"/>
    </row>
    <row r="48">
      <c r="A48" s="3" t="inlineStr">
        <is>
          <t>XFRFUN-053</t>
        </is>
      </c>
      <c r="B48" s="3" t="inlineStr">
        <is>
          <t>XFRFUN</t>
        </is>
      </c>
      <c r="C48" s="3" t="inlineStr">
        <is>
          <t>1392-1393</t>
        </is>
      </c>
      <c r="D48" s="3" t="inlineStr">
        <is>
          <t>1395-1409</t>
        </is>
      </c>
      <c r="E48" s="3" t="inlineStr">
        <is>
          <t>Check if SQLCODE indicates that Storm Drain processing is applicable in a workload if activated</t>
        </is>
      </c>
      <c r="F48" s="7" t="inlineStr">
        <is>
          <t xml:space="preserve">       PERFORM CHECK-FOR-STORM-DRAIN-DB2
       IF SQLCODE = -911
          IF SQLERRD(3) = 13172872
             DISPLAY 'DEADLOCK DETECTED!'
             ADD 1 TO DB2-DEADLOCK-RETRY
             IF DB2-DEADLOCK-RETRY &lt; 6
                EXEC CICS SYNCPOINT
                   ROLLBACK
                   RESP(WS-CICS-RESP)
                   RESP2(WS-CICS-RESP2)
                END-EXEC
                IF WS-CICS-RESP IS NOT EQUAL TO DFHRESP(NORMAL)</t>
        </is>
      </c>
      <c r="G48" s="3" t="inlineStr">
        <is>
          <t>Decisão e falha</t>
        </is>
      </c>
      <c r="H48" s="3" t="inlineStr">
        <is>
          <t>IF, falha</t>
        </is>
      </c>
      <c r="I48" s="3" t="n"/>
      <c r="J48" s="8" t="n"/>
      <c r="K48" s="8" t="n"/>
      <c r="L48" s="8" t="inlineStr">
        <is>
          <t>A validar</t>
        </is>
      </c>
      <c r="M48" s="8" t="n"/>
    </row>
    <row r="49">
      <c r="A49" s="3" t="inlineStr">
        <is>
          <t>XFRFUN-054</t>
        </is>
      </c>
      <c r="B49" s="3" t="inlineStr">
        <is>
          <t>XFRFUN</t>
        </is>
      </c>
      <c r="C49" s="3" t="inlineStr">
        <is>
          <t>1412-1415</t>
        </is>
      </c>
      <c r="D49" s="3" t="inlineStr">
        <is>
          <t>1417-1419</t>
        </is>
      </c>
      <c r="E49" s="3" t="inlineStr">
        <is>
          <t>Preserve the RESP and RESP2, then set up the standard ABEND info before getting the applid, date/time etc. and linking to the Abend Handler program.</t>
        </is>
      </c>
      <c r="F49" s="7" t="inlineStr">
        <is>
          <t xml:space="preserve">                   INITIALIZE ABNDINFO-REC
                   MOVE EIBRESP    TO ABND-RESPCODE
                   MOVE EIBRESP2   TO ABND-RESP2CODE</t>
        </is>
      </c>
      <c r="G49" s="3" t="inlineStr">
        <is>
          <t>Falha</t>
        </is>
      </c>
      <c r="H49" s="3" t="inlineStr">
        <is>
          <t>falha</t>
        </is>
      </c>
      <c r="I49" s="3" t="n"/>
      <c r="J49" s="8" t="n"/>
      <c r="K49" s="8" t="n"/>
      <c r="L49" s="8" t="inlineStr">
        <is>
          <t>A validar</t>
        </is>
      </c>
      <c r="M49" s="8" t="n"/>
    </row>
    <row r="50">
      <c r="A50" s="3" t="inlineStr">
        <is>
          <t>XFRFUN-056</t>
        </is>
      </c>
      <c r="B50" s="3" t="inlineStr">
        <is>
          <t>XFRFUN</t>
        </is>
      </c>
      <c r="C50" s="3" t="inlineStr">
        <is>
          <t>1493-1496</t>
        </is>
      </c>
      <c r="D50" s="3" t="inlineStr">
        <is>
          <t>1498-1500</t>
        </is>
      </c>
      <c r="E50" s="3" t="inlineStr">
        <is>
          <t>Preserve the RESP and RESP2, then set up the standard ABEND info before getting the applid, date/time etc. and linking to the Abend Handler program.</t>
        </is>
      </c>
      <c r="F50" s="7" t="inlineStr">
        <is>
          <t xml:space="preserve">       INITIALIZE ABNDINFO-REC
       MOVE EIBRESP    TO ABND-RESPCODE
       MOVE EIBRESP2   TO ABND-RESP2CODE</t>
        </is>
      </c>
      <c r="G50" s="3" t="inlineStr">
        <is>
          <t>Falha</t>
        </is>
      </c>
      <c r="H50" s="3" t="inlineStr">
        <is>
          <t>falha</t>
        </is>
      </c>
      <c r="I50" s="3" t="n"/>
      <c r="J50" s="8" t="n"/>
      <c r="K50" s="8" t="n"/>
      <c r="L50" s="8" t="inlineStr">
        <is>
          <t>A validar</t>
        </is>
      </c>
      <c r="M50" s="8" t="n"/>
    </row>
    <row r="51">
      <c r="A51" s="3" t="inlineStr">
        <is>
          <t>XFRFUN-057</t>
        </is>
      </c>
      <c r="B51" s="3" t="inlineStr">
        <is>
          <t>XFRFUN</t>
        </is>
      </c>
      <c r="C51" s="3" t="inlineStr">
        <is>
          <t>1502</t>
        </is>
      </c>
      <c r="D51" s="3" t="inlineStr">
        <is>
          <t>1504-1542</t>
        </is>
      </c>
      <c r="E51" s="3" t="inlineStr">
        <is>
          <t>Get supplemental information</t>
        </is>
      </c>
      <c r="F51"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13172872
          STRING 'UAD010-TO(5) - timeout detected '
                DELIMITED BY SIZE,
                ' EIBRESP=' DELIMITED BY SIZE,
                ABND-RESPCODE DELIMITED BY SIZE,
                ' RESP2=' DELIMITED BY SIZE,
                ABND-RESP2CODE DELIMITED BY SIZE
                INTO ABND-FREEFORM
          END-STRING
       END-IF
       EXEC CICS LINK PROGRAM(WS-ABEND-PGM)
                    COMMAREA(ABNDINFO-REC)</t>
        </is>
      </c>
      <c r="G51" s="3" t="inlineStr">
        <is>
          <t>Decisão</t>
        </is>
      </c>
      <c r="H51" s="3" t="inlineStr">
        <is>
          <t>IF</t>
        </is>
      </c>
      <c r="I51" s="3" t="inlineStr">
        <is>
          <t>comentário curto; trecho truncado (30 linhas)</t>
        </is>
      </c>
      <c r="J51" s="8" t="n"/>
      <c r="K51" s="8" t="n"/>
      <c r="L51" s="8" t="inlineStr">
        <is>
          <t>A validar</t>
        </is>
      </c>
      <c r="M51" s="8" t="n"/>
    </row>
    <row r="52">
      <c r="A52" s="3" t="inlineStr">
        <is>
          <t>XFRFUN-061</t>
        </is>
      </c>
      <c r="B52" s="3" t="inlineStr">
        <is>
          <t>XFRFUN</t>
        </is>
      </c>
      <c r="C52" s="3" t="inlineStr">
        <is>
          <t>1644</t>
        </is>
      </c>
      <c r="D52" s="3" t="inlineStr">
        <is>
          <t>1646-1648</t>
        </is>
      </c>
      <c r="E52" s="3" t="inlineStr">
        <is>
          <t>Check the SQLCODE</t>
        </is>
      </c>
      <c r="F52" s="7" t="inlineStr">
        <is>
          <t xml:space="preserve">    IF SQLCODE NOT = 0
       MOVE SQLCODE TO WS-SQLCODE-DISP</t>
        </is>
      </c>
      <c r="G52" s="3" t="inlineStr">
        <is>
          <t>Decisão e falha</t>
        </is>
      </c>
      <c r="H52" s="3" t="inlineStr">
        <is>
          <t>IF, falha</t>
        </is>
      </c>
      <c r="I52" s="3" t="inlineStr">
        <is>
          <t>comentário curto</t>
        </is>
      </c>
      <c r="J52" s="8" t="n"/>
      <c r="K52" s="8" t="n"/>
      <c r="L52" s="8" t="inlineStr">
        <is>
          <t>A validar</t>
        </is>
      </c>
      <c r="M52" s="8" t="n"/>
    </row>
    <row r="53">
      <c r="A53" s="3" t="inlineStr">
        <is>
          <t>XFRFUN-062</t>
        </is>
      </c>
      <c r="B53" s="3" t="inlineStr">
        <is>
          <t>XFRFUN</t>
        </is>
      </c>
      <c r="C53" s="3" t="inlineStr">
        <is>
          <t>1650-1653</t>
        </is>
      </c>
      <c r="D53" s="3" t="inlineStr">
        <is>
          <t>1655-1657</t>
        </is>
      </c>
      <c r="E53" s="3" t="inlineStr">
        <is>
          <t>Preserve the RESP and RESP2, then set up the standard ABEND info before getting the applid, date/time etc. and linking to the Abend Handler program.</t>
        </is>
      </c>
      <c r="F53" s="7" t="inlineStr">
        <is>
          <t xml:space="preserve">       INITIALIZE ABNDINFO-REC
       MOVE EIBRESP    TO ABND-RESPCODE
       MOVE EIBRESP2   TO ABND-RESP2CODE</t>
        </is>
      </c>
      <c r="G53" s="3" t="inlineStr">
        <is>
          <t>Falha</t>
        </is>
      </c>
      <c r="H53" s="3" t="inlineStr">
        <is>
          <t>falha</t>
        </is>
      </c>
      <c r="I53" s="3" t="n"/>
      <c r="J53" s="8" t="n"/>
      <c r="K53" s="8" t="n"/>
      <c r="L53" s="8" t="inlineStr">
        <is>
          <t>A validar</t>
        </is>
      </c>
      <c r="M53" s="8" t="n"/>
    </row>
    <row r="54">
      <c r="A54" s="3" t="inlineStr">
        <is>
          <t>XFRFUN-064</t>
        </is>
      </c>
      <c r="B54" s="3" t="inlineStr">
        <is>
          <t>XFRFUN</t>
        </is>
      </c>
      <c r="C54" s="3" t="inlineStr">
        <is>
          <t>1711-1712</t>
        </is>
      </c>
      <c r="D54" s="3" t="inlineStr">
        <is>
          <t>1714-1738</t>
        </is>
      </c>
      <c r="E54" s="3" t="inlineStr">
        <is>
          <t>Check if SQLCODE indicates that Storm Drain processing is applicable in a workload if activated</t>
        </is>
      </c>
      <c r="F54" s="7" t="inlineStr">
        <is>
          <t xml:space="preserve">       PERFORM CHECK-FOR-STORM-DRAIN-DB2
       EXEC CICS ABEND
          ABCODE('WPCD')
       END-EXEC
    END-IF.
WTPD999.
    EXIT.
GET-ME-OUT-OF-HERE SECTION.
GMOOH010.
    EXEC CICS RETURN
    END-EXEC.
    GOBACK.
GMOOH999.
    EXIT.
CHECK-FOR-STORM-DRAIN-DB2 SECTION.
CFSDD010.</t>
        </is>
      </c>
      <c r="G54" s="3" t="inlineStr">
        <is>
          <t>Falha</t>
        </is>
      </c>
      <c r="H54" s="3" t="inlineStr">
        <is>
          <t>falha</t>
        </is>
      </c>
      <c r="I54" s="3" t="n"/>
      <c r="J54" s="8" t="n"/>
      <c r="K54" s="8" t="n"/>
      <c r="L54" s="8" t="inlineStr">
        <is>
          <t>A validar</t>
        </is>
      </c>
      <c r="M54" s="8" t="n"/>
    </row>
    <row r="55">
      <c r="A55" s="3" t="inlineStr">
        <is>
          <t>XFRFUN-065</t>
        </is>
      </c>
      <c r="B55" s="3" t="inlineStr">
        <is>
          <t>XFRFUN</t>
        </is>
      </c>
      <c r="C55" s="3" t="inlineStr">
        <is>
          <t>1741-1742</t>
        </is>
      </c>
      <c r="D55" s="3" t="inlineStr">
        <is>
          <t>1744-1770</t>
        </is>
      </c>
      <c r="E55" s="3" t="inlineStr">
        <is>
          <t>Check if the Sqlcode that is returned one that will trigger Storm Drain is active in Workload</t>
        </is>
      </c>
      <c r="F55" s="7" t="inlineStr">
        <is>
          <t xml:space="preserve">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
CFSDD999.
    EXIT.
ABEND-HANDLING SECTION.
AH010.</t>
        </is>
      </c>
      <c r="G55" s="3" t="inlineStr">
        <is>
          <t>Decisão e falha</t>
        </is>
      </c>
      <c r="H55" s="3" t="inlineStr">
        <is>
          <t>IF, EVALUATE, WHEN, falha</t>
        </is>
      </c>
      <c r="I55" s="3" t="n"/>
      <c r="J55" s="8" t="n"/>
      <c r="K55" s="8" t="n"/>
      <c r="L55" s="8" t="inlineStr">
        <is>
          <t>A validar</t>
        </is>
      </c>
      <c r="M55" s="8" t="n"/>
    </row>
    <row r="56">
      <c r="A56" s="3" t="inlineStr">
        <is>
          <t>XFRFUN-067</t>
        </is>
      </c>
      <c r="B56" s="3" t="inlineStr">
        <is>
          <t>XFRFUN</t>
        </is>
      </c>
      <c r="C56" s="3" t="inlineStr">
        <is>
          <t>1779-1784</t>
        </is>
      </c>
      <c r="D56" s="3" t="inlineStr">
        <is>
          <t>1786</t>
        </is>
      </c>
      <c r="E56" s="3" t="inlineStr">
        <is>
          <t>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is>
      </c>
      <c r="F56" s="7" t="inlineStr">
        <is>
          <t xml:space="preserve">    EVALUATE MY-ABEND-CODE</t>
        </is>
      </c>
      <c r="G56" s="3" t="inlineStr">
        <is>
          <t>Decisão</t>
        </is>
      </c>
      <c r="H56" s="3" t="inlineStr">
        <is>
          <t>EVALUATE</t>
        </is>
      </c>
      <c r="I56" s="3" t="n"/>
      <c r="J56" s="8" t="n"/>
      <c r="K56" s="8" t="n"/>
      <c r="L56" s="8" t="inlineStr">
        <is>
          <t>A validar</t>
        </is>
      </c>
      <c r="M56" s="8" t="n"/>
    </row>
    <row r="57">
      <c r="A57" s="3" t="inlineStr">
        <is>
          <t>XFRFUN-068</t>
        </is>
      </c>
      <c r="B57" s="3" t="inlineStr">
        <is>
          <t>XFRFUN</t>
        </is>
      </c>
      <c r="C57" s="3" t="inlineStr">
        <is>
          <t>1789</t>
        </is>
      </c>
      <c r="D57" s="3" t="inlineStr">
        <is>
          <t>1791-1821</t>
        </is>
      </c>
      <c r="E57" s="3" t="inlineStr">
        <is>
          <t>DB2 AD2Z abend</t>
        </is>
      </c>
      <c r="F57" s="7" t="inlineStr">
        <is>
          <t xml:space="preserve">       WHEN 'AD2Z'
          MOVE SQLCODE TO SQLCODE-DISPLAY
          DISPLAY 'DB2 DEADLOCK DETECTED IN XFRFUN,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'XFRFUN: Check-For-Storm-Drain-VSAM: Storm '
                'Drain condition (Abend ' MY-ABEND-CODE ') '
                'has been met.'
          EXEC CICS SYNCPOINT
             ROLLBACK
             RESP(WS-CICS-RESP)
             RESP2(WS-CICS-RESP2)
          END-EXEC
          IF WS-CICS-RESP NOT = DFHRESP(NORMAL)</t>
        </is>
      </c>
      <c r="G57" s="3" t="inlineStr">
        <is>
          <t>Decisão e falha</t>
        </is>
      </c>
      <c r="H57" s="3" t="inlineStr">
        <is>
          <t>IF, WHEN, falha</t>
        </is>
      </c>
      <c r="I57" s="3" t="inlineStr">
        <is>
          <t>comentário curto</t>
        </is>
      </c>
      <c r="J57" s="8" t="n"/>
      <c r="K57" s="8" t="n"/>
      <c r="L57" s="8" t="inlineStr">
        <is>
          <t>A validar</t>
        </is>
      </c>
      <c r="M57" s="8" t="n"/>
    </row>
    <row r="58">
      <c r="A58" s="3" t="inlineStr">
        <is>
          <t>XFRFUN-069</t>
        </is>
      </c>
      <c r="B58" s="3" t="inlineStr">
        <is>
          <t>XFRFUN</t>
        </is>
      </c>
      <c r="C58" s="3" t="inlineStr">
        <is>
          <t>1823-1826</t>
        </is>
      </c>
      <c r="D58" s="3" t="inlineStr">
        <is>
          <t>1828-1830</t>
        </is>
      </c>
      <c r="E58" s="3" t="inlineStr">
        <is>
          <t>Preserve the RESP and RESP2, then set up the standard ABEND info before getting the applid, date/time etc. and linking to the Abend Handler program.</t>
        </is>
      </c>
      <c r="F58" s="7" t="inlineStr">
        <is>
          <t xml:space="preserve">             INITIALIZE ABNDINFO-REC
             MOVE EIBRESP    TO ABND-RESPCODE
             MOVE EIBRESP2   TO ABND-RESP2CODE</t>
        </is>
      </c>
      <c r="G58" s="3" t="inlineStr">
        <is>
          <t>Falha</t>
        </is>
      </c>
      <c r="H58" s="3" t="inlineStr">
        <is>
          <t>falha</t>
        </is>
      </c>
      <c r="I58" s="3" t="n"/>
      <c r="J58" s="8" t="n"/>
      <c r="K58" s="8" t="n"/>
      <c r="L58" s="8" t="inlineStr">
        <is>
          <t>A validar</t>
        </is>
      </c>
      <c r="M58" s="8" t="n"/>
    </row>
    <row r="59">
      <c r="A59" s="3" t="inlineStr">
        <is>
          <t>BNK1CRA-001</t>
        </is>
      </c>
      <c r="B59" s="3" t="inlineStr">
        <is>
          <t>BNK1CRA</t>
        </is>
      </c>
      <c r="C59" s="3" t="inlineStr">
        <is>
          <t>182-183</t>
        </is>
      </c>
      <c r="D59" s="3" t="inlineStr">
        <is>
          <t>185-189</t>
        </is>
      </c>
      <c r="E59" s="3" t="inlineStr">
        <is>
          <t>Is it the first time through? If so, send the map with erased (empty) data fields.</t>
        </is>
      </c>
      <c r="F59" s="7" t="inlineStr">
        <is>
          <t xml:space="preserve">       WHEN EIBCALEN = ZERO
          MOVE LOW-VALUE TO BNK1CDO
          MOVE -1 TO ACCNOL
          SET SEND-ERASE TO TRUE
          PERFORM SEND-MAP</t>
        </is>
      </c>
      <c r="G59" s="3" t="inlineStr">
        <is>
          <t>Decisão</t>
        </is>
      </c>
      <c r="H59" s="3" t="inlineStr">
        <is>
          <t>WHEN</t>
        </is>
      </c>
      <c r="I59" s="3" t="n"/>
      <c r="J59" s="8" t="n"/>
      <c r="K59" s="8" t="n"/>
      <c r="L59" s="8" t="inlineStr">
        <is>
          <t>A validar</t>
        </is>
      </c>
      <c r="M59" s="8" t="n"/>
    </row>
    <row r="60">
      <c r="A60" s="3" t="inlineStr">
        <is>
          <t>BNK1CRA-002</t>
        </is>
      </c>
      <c r="B60" s="3" t="inlineStr">
        <is>
          <t>BNK1CRA</t>
        </is>
      </c>
      <c r="C60" s="3" t="inlineStr">
        <is>
          <t>192</t>
        </is>
      </c>
      <c r="D60" s="3" t="inlineStr">
        <is>
          <t>194-195</t>
        </is>
      </c>
      <c r="E60" s="3" t="inlineStr">
        <is>
          <t>If a PA key is pressed, just carry on</t>
        </is>
      </c>
      <c r="F60" s="7" t="inlineStr">
        <is>
          <t xml:space="preserve">       WHEN EIBAID = DFHPA1 OR DFHPA2 OR DFHPA3
          CONTINUE</t>
        </is>
      </c>
      <c r="G60" s="3" t="inlineStr">
        <is>
          <t>Decisão</t>
        </is>
      </c>
      <c r="H60" s="3" t="inlineStr">
        <is>
          <t>WHEN</t>
        </is>
      </c>
      <c r="I60" s="3" t="n"/>
      <c r="J60" s="8" t="n"/>
      <c r="K60" s="8" t="n"/>
      <c r="L60" s="8" t="inlineStr">
        <is>
          <t>A validar</t>
        </is>
      </c>
      <c r="M60" s="8" t="n"/>
    </row>
    <row r="61">
      <c r="A61" s="3" t="inlineStr">
        <is>
          <t>BNK1CRA-003</t>
        </is>
      </c>
      <c r="B61" s="3" t="inlineStr">
        <is>
          <t>BNK1CRA</t>
        </is>
      </c>
      <c r="C61" s="3" t="inlineStr">
        <is>
          <t>198</t>
        </is>
      </c>
      <c r="D61" s="3" t="inlineStr">
        <is>
          <t>200-206</t>
        </is>
      </c>
      <c r="E61" s="3" t="inlineStr">
        <is>
          <t>When Pf3 is pressed, return to the main menu</t>
        </is>
      </c>
      <c r="F61" s="7" t="inlineStr">
        <is>
          <t xml:space="preserve">       WHEN EIBAID = DFHPF3
          EXEC CICS RETURN
             TRANSID('OMEN')
             IMMEDIATE
             RESP(WS-CICS-RESP)
             RESP2(WS-CICS-RESP2)
          END-EXEC</t>
        </is>
      </c>
      <c r="G61" s="3" t="inlineStr">
        <is>
          <t>Decisão</t>
        </is>
      </c>
      <c r="H61" s="3" t="inlineStr">
        <is>
          <t>WHEN</t>
        </is>
      </c>
      <c r="I61" s="3" t="n"/>
      <c r="J61" s="8" t="n"/>
      <c r="K61" s="8" t="n"/>
      <c r="L61" s="8" t="inlineStr">
        <is>
          <t>A validar</t>
        </is>
      </c>
      <c r="M61" s="8" t="n"/>
    </row>
    <row r="62">
      <c r="A62" s="3" t="inlineStr">
        <is>
          <t>BNK1CRA-004</t>
        </is>
      </c>
      <c r="B62" s="3" t="inlineStr">
        <is>
          <t>BNK1CRA</t>
        </is>
      </c>
      <c r="C62" s="3" t="inlineStr">
        <is>
          <t>209-210</t>
        </is>
      </c>
      <c r="D62" s="3" t="inlineStr">
        <is>
          <t>212-217</t>
        </is>
      </c>
      <c r="E62" s="3" t="inlineStr">
        <is>
          <t>If the aid or Pf12 is pressed, then send a termination message.</t>
        </is>
      </c>
      <c r="F62" s="7" t="inlineStr">
        <is>
          <t xml:space="preserve">       WHEN EIBAID = DFHAID OR DFHPF12
          PERFORM SEND-TERMINATION-MSG
          EXEC CICS
             RETURN
          END-EXEC</t>
        </is>
      </c>
      <c r="G62" s="3" t="inlineStr">
        <is>
          <t>Decisão</t>
        </is>
      </c>
      <c r="H62" s="3" t="inlineStr">
        <is>
          <t>WHEN</t>
        </is>
      </c>
      <c r="I62" s="3" t="n"/>
      <c r="J62" s="8" t="n"/>
      <c r="K62" s="8" t="n"/>
      <c r="L62" s="8" t="inlineStr">
        <is>
          <t>A validar</t>
        </is>
      </c>
      <c r="M62" s="8" t="n"/>
    </row>
    <row r="63">
      <c r="A63" s="3" t="inlineStr">
        <is>
          <t>BNK1CRA-005</t>
        </is>
      </c>
      <c r="B63" s="3" t="inlineStr">
        <is>
          <t>BNK1CRA</t>
        </is>
      </c>
      <c r="C63" s="3" t="inlineStr">
        <is>
          <t>220</t>
        </is>
      </c>
      <c r="D63" s="3" t="inlineStr">
        <is>
          <t>222-229</t>
        </is>
      </c>
      <c r="E63" s="3" t="inlineStr">
        <is>
          <t>When CLEAR is pressed</t>
        </is>
      </c>
      <c r="F63" s="7" t="inlineStr">
        <is>
          <t xml:space="preserve">       WHEN EIBAID = DFHCLEAR
         EXEC CICS SEND CONTROL
                   ERASE
                   FREEKB
         END-EXEC
         EXEC CICS RETURN
         END-EXEC</t>
        </is>
      </c>
      <c r="G63" s="3" t="inlineStr">
        <is>
          <t>Decisão</t>
        </is>
      </c>
      <c r="H63" s="3" t="inlineStr">
        <is>
          <t>WHEN</t>
        </is>
      </c>
      <c r="I63" s="3" t="n"/>
      <c r="J63" s="8" t="n"/>
      <c r="K63" s="8" t="n"/>
      <c r="L63" s="8" t="inlineStr">
        <is>
          <t>A validar</t>
        </is>
      </c>
      <c r="M63" s="8" t="n"/>
    </row>
    <row r="64">
      <c r="A64" s="3" t="inlineStr">
        <is>
          <t>BNK1CRA-006</t>
        </is>
      </c>
      <c r="B64" s="3" t="inlineStr">
        <is>
          <t>BNK1CRA</t>
        </is>
      </c>
      <c r="C64" s="3" t="inlineStr">
        <is>
          <t>232</t>
        </is>
      </c>
      <c r="D64" s="3" t="inlineStr">
        <is>
          <t>234-235</t>
        </is>
      </c>
      <c r="E64" s="3" t="inlineStr">
        <is>
          <t>When enter is pressed then process the content</t>
        </is>
      </c>
      <c r="F64" s="7" t="inlineStr">
        <is>
          <t xml:space="preserve">       WHEN EIBAID = DFHENTER
          PERFORM PROCESS-MAP</t>
        </is>
      </c>
      <c r="G64" s="3" t="inlineStr">
        <is>
          <t>Decisão</t>
        </is>
      </c>
      <c r="H64" s="3" t="inlineStr">
        <is>
          <t>WHEN</t>
        </is>
      </c>
      <c r="I64" s="3" t="n"/>
      <c r="J64" s="8" t="n"/>
      <c r="K64" s="8" t="n"/>
      <c r="L64" s="8" t="inlineStr">
        <is>
          <t>A validar</t>
        </is>
      </c>
      <c r="M64" s="8" t="n"/>
    </row>
    <row r="65">
      <c r="A65" s="3" t="inlineStr">
        <is>
          <t>BNK1CRA-007</t>
        </is>
      </c>
      <c r="B65" s="3" t="inlineStr">
        <is>
          <t>BNK1CRA</t>
        </is>
      </c>
      <c r="C65" s="3" t="inlineStr">
        <is>
          <t>238</t>
        </is>
      </c>
      <c r="D65" s="3" t="inlineStr">
        <is>
          <t>240-247</t>
        </is>
      </c>
      <c r="E65" s="3" t="inlineStr">
        <is>
          <t>When anything else happens, send the invalid key message</t>
        </is>
      </c>
      <c r="F65" s="7" t="inlineStr">
        <is>
          <t xml:space="preserve">       WHEN OTHER
          MOVE LOW-VALUES TO BNK1CDO
          MOVE 'Invalid key pressed.' TO MESSAGEO
          MOVE 8 TO ACCNOL
          SET SEND-DATAONLY-ALARM TO TRUE
          PERFORM SEND-MAP
    END-EVALUATE.</t>
        </is>
      </c>
      <c r="G65" s="3" t="inlineStr">
        <is>
          <t>Decisão</t>
        </is>
      </c>
      <c r="H65" s="3" t="inlineStr">
        <is>
          <t>WHEN</t>
        </is>
      </c>
      <c r="I65" s="3" t="n"/>
      <c r="J65" s="8" t="n"/>
      <c r="K65" s="8" t="n"/>
      <c r="L65" s="8" t="inlineStr">
        <is>
          <t>A validar</t>
        </is>
      </c>
      <c r="M65" s="8" t="n"/>
    </row>
    <row r="66">
      <c r="A66" s="3" t="inlineStr">
        <is>
          <t>BNK1CRA-008</t>
        </is>
      </c>
      <c r="B66" s="3" t="inlineStr">
        <is>
          <t>BNK1CRA</t>
        </is>
      </c>
      <c r="C66" s="3" t="inlineStr">
        <is>
          <t>250-253</t>
        </is>
      </c>
      <c r="D66" s="3" t="inlineStr">
        <is>
          <t>255-271</t>
        </is>
      </c>
      <c r="E66" s="3" t="inlineStr">
        <is>
          <t>Provided that we have been around this way before (i.e. it is NOT the first time through, put the data returned from the sub program into the area that we use as the COMMAREA on the RETURN.</t>
        </is>
      </c>
      <c r="F66" s="7" t="inlineStr">
        <is>
          <t xml:space="preserve">    IF EIBCALEN NOT = ZERO
       MOVE COMM-ACCNO  TO WS-COMM-ACCNO
       MOVE COMM-SIGN   TO  WS-COMM-SIGN
       MOVE COMM-AMT    TO WS-COMM-AMT
    END-IF.
    EXEC CICS
       RETURN TRANSID('OCRA')
       COMMAREA(WS-COMM-AREA)
       LENGTH(21)
       RESP(WS-CICS-RESP)
       RESP2(WS-CICS-RESP2)
    END-EXEC.
    IF WS-CICS-RESP NOT = DFHRESP(NORMAL)</t>
        </is>
      </c>
      <c r="G66" s="3" t="inlineStr">
        <is>
          <t>Decisão e falha</t>
        </is>
      </c>
      <c r="H66" s="3" t="inlineStr">
        <is>
          <t>IF, falha</t>
        </is>
      </c>
      <c r="I66" s="3" t="n"/>
      <c r="J66" s="8" t="n"/>
      <c r="K66" s="8" t="n"/>
      <c r="L66" s="8" t="inlineStr">
        <is>
          <t>A validar</t>
        </is>
      </c>
      <c r="M66" s="8" t="n"/>
    </row>
    <row r="67">
      <c r="A67" s="3" t="inlineStr">
        <is>
          <t>BNK1CRA-009</t>
        </is>
      </c>
      <c r="B67" s="3" t="inlineStr">
        <is>
          <t>BNK1CRA</t>
        </is>
      </c>
      <c r="C67" s="3" t="inlineStr">
        <is>
          <t>273-276</t>
        </is>
      </c>
      <c r="D67" s="3" t="inlineStr">
        <is>
          <t>278-280</t>
        </is>
      </c>
      <c r="E67" s="3" t="inlineStr">
        <is>
          <t>Preserve the RESP and RESP2, then set up the standard ABEND info before getting the applid, date/time etc. and linking to the Abend Handler program.</t>
        </is>
      </c>
      <c r="F67" s="7" t="inlineStr">
        <is>
          <t xml:space="preserve">       INITIALIZE ABNDINFO-REC
       MOVE EIBRESP    TO ABND-RESPCODE
       MOVE EIBRESP2   TO ABND-RESP2CODE</t>
        </is>
      </c>
      <c r="G67" s="3" t="inlineStr">
        <is>
          <t>Falha</t>
        </is>
      </c>
      <c r="H67" s="3" t="inlineStr">
        <is>
          <t>falha</t>
        </is>
      </c>
      <c r="I67" s="3" t="n"/>
      <c r="J67" s="8" t="n"/>
      <c r="K67" s="8" t="n"/>
      <c r="L67" s="8" t="inlineStr">
        <is>
          <t>A validar</t>
        </is>
      </c>
      <c r="M67" s="8" t="n"/>
    </row>
    <row r="68">
      <c r="A68" s="3" t="inlineStr">
        <is>
          <t>BNK1CRA-013</t>
        </is>
      </c>
      <c r="B68" s="3" t="inlineStr">
        <is>
          <t>BNK1CRA</t>
        </is>
      </c>
      <c r="C68" s="3" t="inlineStr">
        <is>
          <t>347-348</t>
        </is>
      </c>
      <c r="D68" s="3" t="inlineStr">
        <is>
          <t>350-354</t>
        </is>
      </c>
      <c r="E68" s="3" t="inlineStr">
        <is>
          <t>If the data passes validation go on to apply the debit or credit.</t>
        </is>
      </c>
      <c r="F68" s="7" t="inlineStr">
        <is>
          <t xml:space="preserve">    IF VALID-DATA
       PERFORM UPD-CRED-DATA
    END-IF.
    SET SEND-DATAONLY-ALARM TO TRUE.</t>
        </is>
      </c>
      <c r="G68" s="3" t="inlineStr">
        <is>
          <t>Decisão</t>
        </is>
      </c>
      <c r="H68" s="3" t="inlineStr">
        <is>
          <t>IF</t>
        </is>
      </c>
      <c r="I68" s="3" t="n"/>
      <c r="J68" s="8" t="n"/>
      <c r="K68" s="8" t="n"/>
      <c r="L68" s="8" t="inlineStr">
        <is>
          <t>A validar</t>
        </is>
      </c>
      <c r="M68" s="8" t="n"/>
    </row>
    <row r="69">
      <c r="A69" s="3" t="inlineStr">
        <is>
          <t>BNK1CRA-015</t>
        </is>
      </c>
      <c r="B69" s="3" t="inlineStr">
        <is>
          <t>BNK1CRA</t>
        </is>
      </c>
      <c r="C69" s="3" t="inlineStr">
        <is>
          <t>368</t>
        </is>
      </c>
      <c r="D69" s="3" t="inlineStr">
        <is>
          <t>370-378</t>
        </is>
      </c>
      <c r="E69" s="3" t="inlineStr">
        <is>
          <t>Retrieve the data</t>
        </is>
      </c>
      <c r="F69" s="7" t="inlineStr">
        <is>
          <t xml:space="preserve">    EXEC CICS
       RECEIVE MAP('BNK1CD')
       MAPSET('BNK1CDM')
       INTO(BNK1CDI)
       RESP(WS-CICS-RESP)
       RESP2(WS-CICS-RESP2)
    END-EXEC.
    IF WS-CICS-RESP NOT = DFHRESP(NORMAL)</t>
        </is>
      </c>
      <c r="G69" s="3" t="inlineStr">
        <is>
          <t>Decisão e falha</t>
        </is>
      </c>
      <c r="H69" s="3" t="inlineStr">
        <is>
          <t>IF, falha</t>
        </is>
      </c>
      <c r="I69" s="3" t="inlineStr">
        <is>
          <t>comentário curto</t>
        </is>
      </c>
      <c r="J69" s="8" t="n"/>
      <c r="K69" s="8" t="n"/>
      <c r="L69" s="8" t="inlineStr">
        <is>
          <t>A validar</t>
        </is>
      </c>
      <c r="M69" s="8" t="n"/>
    </row>
    <row r="70">
      <c r="A70" s="3" t="inlineStr">
        <is>
          <t>BNK1CRA-016</t>
        </is>
      </c>
      <c r="B70" s="3" t="inlineStr">
        <is>
          <t>BNK1CRA</t>
        </is>
      </c>
      <c r="C70" s="3" t="inlineStr">
        <is>
          <t>380-383</t>
        </is>
      </c>
      <c r="D70" s="3" t="inlineStr">
        <is>
          <t>385-387</t>
        </is>
      </c>
      <c r="E70" s="3" t="inlineStr">
        <is>
          <t>Preserve the RESP and RESP2, then set up the standard ABEND info before getting the applid, date/time etc. and linking to the Abend Handler program.</t>
        </is>
      </c>
      <c r="F70" s="7" t="inlineStr">
        <is>
          <t xml:space="preserve">       INITIALIZE ABNDINFO-REC
       MOVE EIBRESP    TO ABND-RESPCODE
       MOVE EIBRESP2   TO ABND-RESP2CODE</t>
        </is>
      </c>
      <c r="G70" s="3" t="inlineStr">
        <is>
          <t>Falha</t>
        </is>
      </c>
      <c r="H70" s="3" t="inlineStr">
        <is>
          <t>falha</t>
        </is>
      </c>
      <c r="I70" s="3" t="n"/>
      <c r="J70" s="8" t="n"/>
      <c r="K70" s="8" t="n"/>
      <c r="L70" s="8" t="inlineStr">
        <is>
          <t>A validar</t>
        </is>
      </c>
      <c r="M70" s="8" t="n"/>
    </row>
    <row r="71">
      <c r="A71" s="3" t="inlineStr">
        <is>
          <t>BNK1CRA-018</t>
        </is>
      </c>
      <c r="B71" s="3" t="inlineStr">
        <is>
          <t>BNK1CRA</t>
        </is>
      </c>
      <c r="C71" s="3" t="inlineStr">
        <is>
          <t>444</t>
        </is>
      </c>
      <c r="D71" s="3" t="inlineStr">
        <is>
          <t>446-469</t>
        </is>
      </c>
      <c r="E71" s="3" t="inlineStr">
        <is>
          <t>Perform validation on the incoming fields</t>
        </is>
      </c>
      <c r="F71" s="7" t="inlineStr">
        <is>
          <t xml:space="preserve">    EXEC CICS BIF
       DEEDIT FIELD(ACCNOI)
    END-EXEC.
    IF ACCNOI NOT NUMERIC
       MOVE 'Please enter an account number.  ' TO
          MESSAGEO
       MOVE 'N' TO VALID-DATA-SW
       GO TO ED999
    END-IF.
    IF ACCNOI = ZERO
       MOVE 'Please enter a non zero account number.   ' TO
          MESSAGEO
       MOVE 'N' TO VALID-DATA-SW
       GO TO ED999
    END-IF.
    IF SIGNI NOT = '+' AND SIGNI NOT = '-' AND SIGNL = 1
       MOVE 'Please enter + or - preceding the amount ' TO
          MESSAGEO
       MOVE 'N' TO VALID-DATA-SW
       GO TO ED999
    END-IF.</t>
        </is>
      </c>
      <c r="G71" s="3" t="inlineStr">
        <is>
          <t>Decisão</t>
        </is>
      </c>
      <c r="H71" s="3" t="inlineStr">
        <is>
          <t>IF</t>
        </is>
      </c>
      <c r="I71" s="3" t="n"/>
      <c r="J71" s="8" t="n"/>
      <c r="K71" s="8" t="n"/>
      <c r="L71" s="8" t="inlineStr">
        <is>
          <t>A validar</t>
        </is>
      </c>
      <c r="M71" s="8" t="n"/>
    </row>
    <row r="72">
      <c r="A72" s="3" t="inlineStr">
        <is>
          <t>BNK1CRA-021</t>
        </is>
      </c>
      <c r="B72" s="3" t="inlineStr">
        <is>
          <t>BNK1CRA</t>
        </is>
      </c>
      <c r="C72" s="3" t="inlineStr">
        <is>
          <t>492</t>
        </is>
      </c>
      <c r="D72" s="3" t="inlineStr">
        <is>
          <t>494-498</t>
        </is>
      </c>
      <c r="E72" s="3" t="inlineStr">
        <is>
          <t>Provide the correct Amount</t>
        </is>
      </c>
      <c r="F72" s="7" t="inlineStr">
        <is>
          <t xml:space="preserve">    IF SIGNI = '-'
       COMPUTE WS-AMOUNT-AS-FLOAT = WS-AMOUNT-AS-FLOAT * -1
    END-IF.
    MOVE WS-AMOUNT-AS-FLOAT TO SUBPGM-AMT.</t>
        </is>
      </c>
      <c r="G72" s="3" t="inlineStr">
        <is>
          <t>Decisão</t>
        </is>
      </c>
      <c r="H72" s="3" t="inlineStr">
        <is>
          <t>IF</t>
        </is>
      </c>
      <c r="I72" s="3" t="n"/>
      <c r="J72" s="8" t="n"/>
      <c r="K72" s="8" t="n"/>
      <c r="L72" s="8" t="inlineStr">
        <is>
          <t>A validar</t>
        </is>
      </c>
      <c r="M72" s="8" t="n"/>
    </row>
    <row r="73">
      <c r="A73" s="3" t="inlineStr">
        <is>
          <t>BNK1CRA-022</t>
        </is>
      </c>
      <c r="B73" s="3" t="inlineStr">
        <is>
          <t>BNK1CRA</t>
        </is>
      </c>
      <c r="C73" s="3" t="inlineStr">
        <is>
          <t>501</t>
        </is>
      </c>
      <c r="D73" s="3" t="inlineStr">
        <is>
          <t>503-519</t>
        </is>
      </c>
      <c r="E73" s="3" t="inlineStr">
        <is>
          <t>Get the ORIGIN data</t>
        </is>
      </c>
      <c r="F73" s="7" t="inlineStr">
        <is>
          <t xml:space="preserve">    EXEC CICS INQUIRE ASSOCIATION(EIBTASKN)
        ODAPPLID(SUBPGM-APPLID)
        ODUSERID(SUBPGM-USERID)
        ODFACILNAME(SUBPGM-FACILITY-NAME)
        ODNETWORKID(SUBPGM-NETWRK-ID)
        ODFACILTYPE(SUBPGM-FACILTYPE)
    END-EXEC.
    EXEC CICS LINK
       PROGRAM('DBCRFUN')
       COMMAREA(SUBPGM-PARMS)
       RESP(WS-CICS-RESP)
       RESP2(WS-CICS-RESP2)
       SYNCONRETURN
    END-EXEC.
    IF WS-CICS-RESP NOT = DFHRESP(NORMAL)</t>
        </is>
      </c>
      <c r="G73" s="3" t="inlineStr">
        <is>
          <t>Decisão e falha</t>
        </is>
      </c>
      <c r="H73" s="3" t="inlineStr">
        <is>
          <t>IF, falha</t>
        </is>
      </c>
      <c r="I73" s="3" t="n"/>
      <c r="J73" s="8" t="n"/>
      <c r="K73" s="8" t="n"/>
      <c r="L73" s="8" t="inlineStr">
        <is>
          <t>A validar</t>
        </is>
      </c>
      <c r="M73" s="8" t="n"/>
    </row>
    <row r="74">
      <c r="A74" s="3" t="inlineStr">
        <is>
          <t>BNK1CRA-023</t>
        </is>
      </c>
      <c r="B74" s="3" t="inlineStr">
        <is>
          <t>BNK1CRA</t>
        </is>
      </c>
      <c r="C74" s="3" t="inlineStr">
        <is>
          <t>521-524</t>
        </is>
      </c>
      <c r="D74" s="3" t="inlineStr">
        <is>
          <t>526-528</t>
        </is>
      </c>
      <c r="E74" s="3" t="inlineStr">
        <is>
          <t>Preserve the RESP and RESP2, then set up the standard ABEND info before getting the applid, date/time etc. and linking to the Abend Handler program.</t>
        </is>
      </c>
      <c r="F74" s="7" t="inlineStr">
        <is>
          <t xml:space="preserve">       INITIALIZE ABNDINFO-REC
       MOVE EIBRESP    TO ABND-RESPCODE
       MOVE EIBRESP2   TO ABND-RESP2CODE</t>
        </is>
      </c>
      <c r="G74" s="3" t="inlineStr">
        <is>
          <t>Falha</t>
        </is>
      </c>
      <c r="H74" s="3" t="inlineStr">
        <is>
          <t>falha</t>
        </is>
      </c>
      <c r="I74" s="3" t="n"/>
      <c r="J74" s="8" t="n"/>
      <c r="K74" s="8" t="n"/>
      <c r="L74" s="8" t="inlineStr">
        <is>
          <t>A validar</t>
        </is>
      </c>
      <c r="M74" s="8" t="n"/>
    </row>
    <row r="75">
      <c r="A75" s="3" t="inlineStr">
        <is>
          <t>BNK1CRA-025</t>
        </is>
      </c>
      <c r="B75" s="3" t="inlineStr">
        <is>
          <t>BNK1CRA</t>
        </is>
      </c>
      <c r="C75" s="3" t="inlineStr">
        <is>
          <t>579</t>
        </is>
      </c>
      <c r="D75" s="3" t="inlineStr">
        <is>
          <t>581-615</t>
        </is>
      </c>
      <c r="E75" s="3" t="inlineStr">
        <is>
          <t>Check to see if the debit or credit was successful</t>
        </is>
      </c>
      <c r="F75" s="7" t="inlineStr">
        <is>
          <t xml:space="preserve">    IF SUBPGM-SUCCESS = 'N'
       MOVE 'N' TO VALID-DATA-SW
       EVALUATE SUBPGM-FAIL-CODE
          WHEN '1'
             MOVE SPACES TO MESSAGEO
             STRING 'Sorry but the ACCOUNT no was not found'
                    ' for SORTCODE '
                    SUBPGM-SORTC
                    ' . Amount not applied. '
                    DELIMITED BY SIZE
                    INTO MESSAGEO
             GO TO UCD999
          WHEN '2'
             MOVE SPACES TO MESSAGEO
             STRING 'Sorry but the AMOUNT could not be applied'
                    ' due to an unexpected error.'
                    DELIMITED BY SIZE
                    INTO MESSAGEO
             GO TO UCD999
          WHEN '3'
             MOVE SPACES TO MESSAGEO
             STRING 'Sorry insufficient funds available to pro'
                    'cess the request.           '
                    DELIMITED BY SIZE
                    INTO MESSAGEO
             GO TO UCD999
          WHEN OTHER
             MOVE SPACES TO MESSAGEO
             STRING 'Sorry but the AMOUNT could not be applied'
                    ' due to an unexpected error. '</t>
        </is>
      </c>
      <c r="G75" s="3" t="inlineStr">
        <is>
          <t>Decisão</t>
        </is>
      </c>
      <c r="H75" s="3" t="inlineStr">
        <is>
          <t>IF, EVALUATE, WHEN</t>
        </is>
      </c>
      <c r="I75" s="3" t="inlineStr">
        <is>
          <t>trecho truncado (30 linhas)</t>
        </is>
      </c>
      <c r="J75" s="8" t="n"/>
      <c r="K75" s="8" t="n"/>
      <c r="L75" s="8" t="inlineStr">
        <is>
          <t>A validar</t>
        </is>
      </c>
      <c r="M75" s="8" t="n"/>
    </row>
    <row r="76">
      <c r="A76" s="3" t="inlineStr">
        <is>
          <t>BNK1CRA-027</t>
        </is>
      </c>
      <c r="B76" s="3" t="inlineStr">
        <is>
          <t>BNK1CRA</t>
        </is>
      </c>
      <c r="C76" s="3" t="inlineStr">
        <is>
          <t>646</t>
        </is>
      </c>
      <c r="D76" s="3" t="inlineStr">
        <is>
          <t>648-657</t>
        </is>
      </c>
      <c r="E76" s="3" t="inlineStr">
        <is>
          <t>If the map needs to have its data erased</t>
        </is>
      </c>
      <c r="F76" s="7" t="inlineStr">
        <is>
          <t xml:space="preserve">    IF SEND-ERASE
       EXEC CICS SEND MAP('BNK1CD')
          MAPSET('BNK1CDM')
          FROM(BNK1CDO)
          ERASE
          RESP(WS-CICS-RESP)
          RESP2(WS-CICS-RESP2)
       END-EXEC
       IF WS-CICS-RESP NOT = DFHRESP(NORMAL)</t>
        </is>
      </c>
      <c r="G76" s="3" t="inlineStr">
        <is>
          <t>Decisão e falha</t>
        </is>
      </c>
      <c r="H76" s="3" t="inlineStr">
        <is>
          <t>IF, falha</t>
        </is>
      </c>
      <c r="I76" s="3" t="n"/>
      <c r="J76" s="8" t="n"/>
      <c r="K76" s="8" t="n"/>
      <c r="L76" s="8" t="inlineStr">
        <is>
          <t>A validar</t>
        </is>
      </c>
      <c r="M76" s="8" t="n"/>
    </row>
    <row r="77">
      <c r="A77" s="3" t="inlineStr">
        <is>
          <t>BNK1CRA-028</t>
        </is>
      </c>
      <c r="B77" s="3" t="inlineStr">
        <is>
          <t>BNK1CRA</t>
        </is>
      </c>
      <c r="C77" s="3" t="inlineStr">
        <is>
          <t>659-662</t>
        </is>
      </c>
      <c r="D77" s="3" t="inlineStr">
        <is>
          <t>664-666</t>
        </is>
      </c>
      <c r="E77" s="3" t="inlineStr">
        <is>
          <t>Preserve the RESP and RESP2, then set up the standard ABEND info before getting the applid, date/time etc. and linking to the Abend Handler program.</t>
        </is>
      </c>
      <c r="F77" s="7" t="inlineStr">
        <is>
          <t xml:space="preserve">          INITIALIZE ABNDINFO-REC
          MOVE EIBRESP    TO ABND-RESPCODE
          MOVE EIBRESP2   TO ABND-RESP2CODE</t>
        </is>
      </c>
      <c r="G77" s="3" t="inlineStr">
        <is>
          <t>Falha</t>
        </is>
      </c>
      <c r="H77" s="3" t="inlineStr">
        <is>
          <t>falha</t>
        </is>
      </c>
      <c r="I77" s="3" t="n"/>
      <c r="J77" s="8" t="n"/>
      <c r="K77" s="8" t="n"/>
      <c r="L77" s="8" t="inlineStr">
        <is>
          <t>A validar</t>
        </is>
      </c>
      <c r="M77" s="8" t="n"/>
    </row>
    <row r="78">
      <c r="A78" s="3" t="inlineStr">
        <is>
          <t>BNK1CRA-030</t>
        </is>
      </c>
      <c r="B78" s="3" t="inlineStr">
        <is>
          <t>BNK1CRA</t>
        </is>
      </c>
      <c r="C78" s="3" t="inlineStr">
        <is>
          <t>720</t>
        </is>
      </c>
      <c r="D78" s="3" t="inlineStr">
        <is>
          <t>722-731</t>
        </is>
      </c>
      <c r="E78" s="3" t="inlineStr">
        <is>
          <t>If the map just needs a resend of only the data</t>
        </is>
      </c>
      <c r="F78" s="7" t="inlineStr">
        <is>
          <t xml:space="preserve">    IF SEND-DATAONLY
       EXEC CICS SEND MAP('BNK1CD')
          MAPSET('BNK1CDM')
          FROM(BNK1CDO)
          DATAONLY
          RESP(WS-CICS-RESP)
          RESP2(WS-CICS-RESP2)
       END-EXEC
       IF WS-CICS-RESP NOT = DFHRESP(NORMAL)</t>
        </is>
      </c>
      <c r="G78" s="3" t="inlineStr">
        <is>
          <t>Decisão e falha</t>
        </is>
      </c>
      <c r="H78" s="3" t="inlineStr">
        <is>
          <t>IF, falha</t>
        </is>
      </c>
      <c r="I78" s="3" t="n"/>
      <c r="J78" s="8" t="n"/>
      <c r="K78" s="8" t="n"/>
      <c r="L78" s="8" t="inlineStr">
        <is>
          <t>A validar</t>
        </is>
      </c>
      <c r="M78" s="8" t="n"/>
    </row>
    <row r="79">
      <c r="A79" s="3" t="inlineStr">
        <is>
          <t>BNK1CRA-031</t>
        </is>
      </c>
      <c r="B79" s="3" t="inlineStr">
        <is>
          <t>BNK1CRA</t>
        </is>
      </c>
      <c r="C79" s="3" t="inlineStr">
        <is>
          <t>733-736</t>
        </is>
      </c>
      <c r="D79" s="3" t="inlineStr">
        <is>
          <t>738-740</t>
        </is>
      </c>
      <c r="E79" s="3" t="inlineStr">
        <is>
          <t>Preserve the RESP and RESP2, then set up the standard ABEND info before getting the applid, date/time etc. and linking to the Abend Handler program.</t>
        </is>
      </c>
      <c r="F79" s="7" t="inlineStr">
        <is>
          <t xml:space="preserve">          INITIALIZE ABNDINFO-REC
          MOVE EIBRESP    TO ABND-RESPCODE
          MOVE EIBRESP2   TO ABND-RESP2CODE</t>
        </is>
      </c>
      <c r="G79" s="3" t="inlineStr">
        <is>
          <t>Falha</t>
        </is>
      </c>
      <c r="H79" s="3" t="inlineStr">
        <is>
          <t>falha</t>
        </is>
      </c>
      <c r="I79" s="3" t="n"/>
      <c r="J79" s="8" t="n"/>
      <c r="K79" s="8" t="n"/>
      <c r="L79" s="8" t="inlineStr">
        <is>
          <t>A validar</t>
        </is>
      </c>
      <c r="M79" s="8" t="n"/>
    </row>
    <row r="80">
      <c r="A80" s="3" t="inlineStr">
        <is>
          <t>BNK1CRA-033</t>
        </is>
      </c>
      <c r="B80" s="3" t="inlineStr">
        <is>
          <t>BNK1CRA</t>
        </is>
      </c>
      <c r="C80" s="3" t="inlineStr">
        <is>
          <t>794</t>
        </is>
      </c>
      <c r="D80" s="3" t="inlineStr">
        <is>
          <t>796-806</t>
        </is>
      </c>
      <c r="E80" s="3" t="inlineStr">
        <is>
          <t>If we have elected to send the map and a beep</t>
        </is>
      </c>
      <c r="F80" s="7" t="inlineStr">
        <is>
          <t xml:space="preserve">    IF SEND-DATAONLY-ALARM
       EXEC CICS SEND MAP('BNK1CD')
          MAPSET('BNK1CDM')
          FROM(BNK1CDO)
          DATAONLY
          ALARM
          RESP(WS-CICS-RESP)
          RESP2(WS-CICS-RESP2)
       END-EXEC
       IF WS-CICS-RESP NOT = DFHRESP(NORMAL)</t>
        </is>
      </c>
      <c r="G80" s="3" t="inlineStr">
        <is>
          <t>Decisão e falha</t>
        </is>
      </c>
      <c r="H80" s="3" t="inlineStr">
        <is>
          <t>IF, falha</t>
        </is>
      </c>
      <c r="I80" s="3" t="n"/>
      <c r="J80" s="8" t="n"/>
      <c r="K80" s="8" t="n"/>
      <c r="L80" s="8" t="inlineStr">
        <is>
          <t>A validar</t>
        </is>
      </c>
      <c r="M80" s="8" t="n"/>
    </row>
    <row r="81">
      <c r="A81" s="3" t="inlineStr">
        <is>
          <t>BNK1CRA-034</t>
        </is>
      </c>
      <c r="B81" s="3" t="inlineStr">
        <is>
          <t>BNK1CRA</t>
        </is>
      </c>
      <c r="C81" s="3" t="inlineStr">
        <is>
          <t>808-811</t>
        </is>
      </c>
      <c r="D81" s="3" t="inlineStr">
        <is>
          <t>813-815</t>
        </is>
      </c>
      <c r="E81" s="3" t="inlineStr">
        <is>
          <t>Preserve the RESP and RESP2, then set up the standard ABEND info before getting the applid, date/time etc. and linking to the Abend Handler program.</t>
        </is>
      </c>
      <c r="F81" s="7" t="inlineStr">
        <is>
          <t xml:space="preserve">          INITIALIZE ABNDINFO-REC
          MOVE EIBRESP    TO ABND-RESPCODE
          MOVE EIBRESP2   TO ABND-RESP2CODE</t>
        </is>
      </c>
      <c r="G81" s="3" t="inlineStr">
        <is>
          <t>Falha</t>
        </is>
      </c>
      <c r="H81" s="3" t="inlineStr">
        <is>
          <t>falha</t>
        </is>
      </c>
      <c r="I81" s="3" t="n"/>
      <c r="J81" s="8" t="n"/>
      <c r="K81" s="8" t="n"/>
      <c r="L81" s="8" t="inlineStr">
        <is>
          <t>A validar</t>
        </is>
      </c>
      <c r="M81" s="8" t="n"/>
    </row>
    <row r="82">
      <c r="A82" s="3" t="inlineStr">
        <is>
          <t>BNK1CRA-036</t>
        </is>
      </c>
      <c r="B82" s="3" t="inlineStr">
        <is>
          <t>BNK1CRA</t>
        </is>
      </c>
      <c r="C82" s="3" t="inlineStr">
        <is>
          <t>874</t>
        </is>
      </c>
      <c r="D82" s="3" t="inlineStr">
        <is>
          <t>876-884</t>
        </is>
      </c>
      <c r="E82" s="3" t="inlineStr">
        <is>
          <t>Send the termination message</t>
        </is>
      </c>
      <c r="F82" s="7" t="inlineStr">
        <is>
          <t xml:space="preserve">    EXEC CICS SEND TEXT
       FROM(END-OF-SESSION-MESSAGE)
       ERASE
       FREEKB
       RESP(WS-CICS-RESP)
       RESP2(WS-CICS-RESP2)
    END-EXEC.
    IF WS-CICS-RESP NOT = DFHRESP(NORMAL)</t>
        </is>
      </c>
      <c r="G82" s="3" t="inlineStr">
        <is>
          <t>Decisão e falha</t>
        </is>
      </c>
      <c r="H82" s="3" t="inlineStr">
        <is>
          <t>IF, falha</t>
        </is>
      </c>
      <c r="I82" s="3" t="n"/>
      <c r="J82" s="8" t="n"/>
      <c r="K82" s="8" t="n"/>
      <c r="L82" s="8" t="inlineStr">
        <is>
          <t>A validar</t>
        </is>
      </c>
      <c r="M82" s="8" t="n"/>
    </row>
    <row r="83">
      <c r="A83" s="3" t="inlineStr">
        <is>
          <t>BNK1CRA-037</t>
        </is>
      </c>
      <c r="B83" s="3" t="inlineStr">
        <is>
          <t>BNK1CRA</t>
        </is>
      </c>
      <c r="C83" s="3" t="inlineStr">
        <is>
          <t>886-889</t>
        </is>
      </c>
      <c r="D83" s="3" t="inlineStr">
        <is>
          <t>891-893</t>
        </is>
      </c>
      <c r="E83" s="3" t="inlineStr">
        <is>
          <t>Preserve the RESP and RESP2, then set up the standard ABEND info before getting the applid, date/time etc. and linking to the Abend Handler program.</t>
        </is>
      </c>
      <c r="F83" s="7" t="inlineStr">
        <is>
          <t xml:space="preserve">       INITIALIZE ABNDINFO-REC
       MOVE EIBRESP    TO ABND-RESPCODE
       MOVE EIBRESP2   TO ABND-RESP2CODE</t>
        </is>
      </c>
      <c r="G83" s="3" t="inlineStr">
        <is>
          <t>Falha</t>
        </is>
      </c>
      <c r="H83" s="3" t="inlineStr">
        <is>
          <t>falha</t>
        </is>
      </c>
      <c r="I83" s="3" t="n"/>
      <c r="J83" s="8" t="n"/>
      <c r="K83" s="8" t="n"/>
      <c r="L83" s="8" t="inlineStr">
        <is>
          <t>A validar</t>
        </is>
      </c>
      <c r="M83" s="8" t="n"/>
    </row>
    <row r="84">
      <c r="A84" s="3" t="inlineStr">
        <is>
          <t>BNK1CRA-039</t>
        </is>
      </c>
      <c r="B84" s="3" t="inlineStr">
        <is>
          <t>BNK1CRA</t>
        </is>
      </c>
      <c r="C84" s="3" t="inlineStr">
        <is>
          <t>986</t>
        </is>
      </c>
      <c r="D84" s="3" t="inlineStr">
        <is>
          <t>988-1024</t>
        </is>
      </c>
      <c r="E84" s="3" t="inlineStr">
        <is>
          <t>It is entirely spaces</t>
        </is>
      </c>
      <c r="F84" s="7" t="inlineStr">
        <is>
          <t xml:space="preserve">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INSPECT WS-AMOUNT-UNSTR(1:WS-AMOUNT-UNSTR-L)
       TALLYING
       WS-NUM-COUNT-TOTAL FOR ALL '0'</t>
        </is>
      </c>
      <c r="G84" s="3" t="inlineStr">
        <is>
          <t>Decisão</t>
        </is>
      </c>
      <c r="H84" s="3" t="inlineStr">
        <is>
          <t>IF</t>
        </is>
      </c>
      <c r="I84" s="3" t="inlineStr">
        <is>
          <t>trecho truncado (30 linhas)</t>
        </is>
      </c>
      <c r="J84" s="8" t="n"/>
      <c r="K84" s="8" t="n"/>
      <c r="L84" s="8" t="inlineStr">
        <is>
          <t>A validar</t>
        </is>
      </c>
      <c r="M84" s="8" t="n"/>
    </row>
    <row r="85">
      <c r="A85" s="3" t="inlineStr">
        <is>
          <t>BNK1CRA-040</t>
        </is>
      </c>
      <c r="B85" s="3" t="inlineStr">
        <is>
          <t>BNK1CRA</t>
        </is>
      </c>
      <c r="C85" s="3" t="inlineStr">
        <is>
          <t>1038-1042</t>
        </is>
      </c>
      <c r="D85" s="3" t="inlineStr">
        <is>
          <t>1044-1064</t>
        </is>
      </c>
      <c r="E85" s="3" t="inlineStr">
        <is>
          <t>If there is a decimal point, the field is not numeric. But if it is 1.1 then it is valid. So first of all we check to see that only the above chars are valid. We DO NOT tolerate embedded spaces too</t>
        </is>
      </c>
      <c r="F85" s="7" t="inlineStr">
        <is>
          <t xml:space="preserve">    IF WS-NUM-COUNT-SPACE &gt; 0
       MOVE SPACES TO MESSAGEO
       STRING
          'Please supply a numeric amount without embedded'
           DELIMITED BY SIZE,
           ' spaces.' DELIMITED BY SPACES
       INTO MESSAGEO
       MOVE 'N' TO VALID-DATA-SW
       MOVE -1 TO AMTL
       GO TO VA999
    END-IF.
    IF WS-NUM-COUNT-TOTAL &lt; WS-AMOUNT-UNSTR-L
       MOVE SPACES TO MESSAGEO
       STRING 'Please supply a numeric amount.'
          DELIMITED BY SIZE,
          INTO MESSAGEO
       MOVE 'N' TO VALID-DATA-SW
       MOVE -1 TO AMTL
       GO TO VA999
    END-IF.</t>
        </is>
      </c>
      <c r="G85" s="3" t="inlineStr">
        <is>
          <t>Decisão</t>
        </is>
      </c>
      <c r="H85" s="3" t="inlineStr">
        <is>
          <t>IF</t>
        </is>
      </c>
      <c r="I85" s="3" t="n"/>
      <c r="J85" s="8" t="n"/>
      <c r="K85" s="8" t="n"/>
      <c r="L85" s="8" t="inlineStr">
        <is>
          <t>A validar</t>
        </is>
      </c>
      <c r="M85" s="8" t="n"/>
    </row>
    <row r="86">
      <c r="A86" s="3" t="inlineStr">
        <is>
          <t>BNK1CRA-041</t>
        </is>
      </c>
      <c r="B86" s="3" t="inlineStr">
        <is>
          <t>BNK1CRA</t>
        </is>
      </c>
      <c r="C86" s="3" t="inlineStr">
        <is>
          <t>1067</t>
        </is>
      </c>
      <c r="D86" s="3" t="inlineStr">
        <is>
          <t>1069-1083</t>
        </is>
      </c>
      <c r="E86" s="3" t="inlineStr">
        <is>
          <t>Check that we have no or just one decimal point</t>
        </is>
      </c>
      <c r="F86" s="7" t="inlineStr">
        <is>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is>
      </c>
      <c r="G86" s="3" t="inlineStr">
        <is>
          <t>Decisão</t>
        </is>
      </c>
      <c r="H86" s="3" t="inlineStr">
        <is>
          <t>IF</t>
        </is>
      </c>
      <c r="I86" s="3" t="n"/>
      <c r="J86" s="8" t="n"/>
      <c r="K86" s="8" t="n"/>
      <c r="L86" s="8" t="inlineStr">
        <is>
          <t>A validar</t>
        </is>
      </c>
      <c r="M86" s="8" t="n"/>
    </row>
    <row r="87">
      <c r="A87" s="3" t="inlineStr">
        <is>
          <t>BNK1CRA-042</t>
        </is>
      </c>
      <c r="B87" s="3" t="inlineStr">
        <is>
          <t>BNK1CRA</t>
        </is>
      </c>
      <c r="C87" s="3" t="inlineStr">
        <is>
          <t>1086</t>
        </is>
      </c>
      <c r="D87" s="3" t="inlineStr">
        <is>
          <t>1088-1114</t>
        </is>
      </c>
      <c r="E87" s="3" t="inlineStr">
        <is>
          <t>Have we got too many decimals?</t>
        </is>
      </c>
      <c r="F87" s="7" t="inlineStr">
        <is>
          <t xml:space="preserve">    IF WS-NUM-COUNT-POINT = 1
       MOVE ZERO TO WS-NUM-COUNT-TOTAL
       INSPECT WS-AMOUNT-UNSTR(1:WS-AMOUNT-UNSTR-L)
          TALLYING WS-NUM-COUNT-TOTAL FOR CHARACTERS AFTER '.'
       IF WS-NUM-COUNT-TOTAL &gt; 2
          MOVE ZERO TO WS-NUM-COUNT-TOTAL WS-NUM-COUNT-POINT
          INSPECT WS-AMOUNT-UNSTR(1:WS-AMOUNT-UNSTR-L)
          TALLYING
             WS-NUM-COUNT-POINT FOR CHARACTERS BEFORE '.'
          ADD 2 TO WS-NUM-COUNT-POINT GIVING WS-NUM-COUNT-POINT
          INSPECT
          WS-AMOUNT-UNSTR(WS-NUM-COUNT-POINT:WS-AMOUNT-UNSTR-L)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is>
      </c>
      <c r="G87" s="3" t="inlineStr">
        <is>
          <t>Decisão</t>
        </is>
      </c>
      <c r="H87" s="3" t="inlineStr">
        <is>
          <t>IF</t>
        </is>
      </c>
      <c r="I87" s="3" t="n"/>
      <c r="J87" s="8" t="n"/>
      <c r="K87" s="8" t="n"/>
      <c r="L87" s="8" t="inlineStr">
        <is>
          <t>A validar</t>
        </is>
      </c>
      <c r="M87" s="8" t="n"/>
    </row>
    <row r="88">
      <c r="A88" s="3" t="inlineStr">
        <is>
          <t>BNK1CRA-043</t>
        </is>
      </c>
      <c r="B88" s="3" t="inlineStr">
        <is>
          <t>BNK1CRA</t>
        </is>
      </c>
      <c r="C88" s="3" t="inlineStr">
        <is>
          <t>1116</t>
        </is>
      </c>
      <c r="D88" s="3" t="inlineStr">
        <is>
          <t>1118-1154</t>
        </is>
      </c>
      <c r="E88" s="3" t="inlineStr">
        <is>
          <t>There are two numerics</t>
        </is>
      </c>
      <c r="F88" s="7" t="inlineStr">
        <is>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
    EXEC CICS ASKTIME</t>
        </is>
      </c>
      <c r="G88" s="3" t="inlineStr">
        <is>
          <t>Decisão</t>
        </is>
      </c>
      <c r="H88" s="3" t="inlineStr">
        <is>
          <t>IF</t>
        </is>
      </c>
      <c r="I88" s="3" t="inlineStr">
        <is>
          <t>trecho truncado (30 linhas)</t>
        </is>
      </c>
      <c r="J88" s="8" t="n"/>
      <c r="K88" s="8" t="n"/>
      <c r="L88" s="8" t="inlineStr">
        <is>
          <t>A validar</t>
        </is>
      </c>
      <c r="M88" s="8" t="n"/>
    </row>
    <row r="89">
      <c r="A89" s="3" t="inlineStr">
        <is>
          <t>BNK1TFN-001</t>
        </is>
      </c>
      <c r="B89" s="3" t="inlineStr">
        <is>
          <t>BNK1TFN</t>
        </is>
      </c>
      <c r="C89" s="3" t="inlineStr">
        <is>
          <t>180-181</t>
        </is>
      </c>
      <c r="D89" s="3" t="inlineStr">
        <is>
          <t>183-186</t>
        </is>
      </c>
      <c r="E89" s="3" t="inlineStr">
        <is>
          <t>Is it the first time through? If so, send the map with erased (empty) data fields.</t>
        </is>
      </c>
      <c r="F89" s="7" t="inlineStr">
        <is>
          <t xml:space="preserve">       WHEN EIBCALEN = ZERO
          MOVE LOW-VALUE TO BNK1TFO
          SET SEND-ERASE TO TRUE
          PERFORM SEND-MAP</t>
        </is>
      </c>
      <c r="G89" s="3" t="inlineStr">
        <is>
          <t>Decisão</t>
        </is>
      </c>
      <c r="H89" s="3" t="inlineStr">
        <is>
          <t>WHEN</t>
        </is>
      </c>
      <c r="I89" s="3" t="n"/>
      <c r="J89" s="8" t="n"/>
      <c r="K89" s="8" t="n"/>
      <c r="L89" s="8" t="inlineStr">
        <is>
          <t>A validar</t>
        </is>
      </c>
      <c r="M89" s="8" t="n"/>
    </row>
    <row r="90">
      <c r="A90" s="3" t="inlineStr">
        <is>
          <t>BNK1TFN-002</t>
        </is>
      </c>
      <c r="B90" s="3" t="inlineStr">
        <is>
          <t>BNK1TFN</t>
        </is>
      </c>
      <c r="C90" s="3" t="inlineStr">
        <is>
          <t>189</t>
        </is>
      </c>
      <c r="D90" s="3" t="inlineStr">
        <is>
          <t>191-192</t>
        </is>
      </c>
      <c r="E90" s="3" t="inlineStr">
        <is>
          <t>If a PA key is pressed, just carry on</t>
        </is>
      </c>
      <c r="F90" s="7" t="inlineStr">
        <is>
          <t xml:space="preserve">       WHEN EIBAID = DFHPA1 OR DFHPA2 OR DFHPA3
          CONTINUE</t>
        </is>
      </c>
      <c r="G90" s="3" t="inlineStr">
        <is>
          <t>Decisão</t>
        </is>
      </c>
      <c r="H90" s="3" t="inlineStr">
        <is>
          <t>WHEN</t>
        </is>
      </c>
      <c r="I90" s="3" t="n"/>
      <c r="J90" s="8" t="n"/>
      <c r="K90" s="8" t="n"/>
      <c r="L90" s="8" t="inlineStr">
        <is>
          <t>A validar</t>
        </is>
      </c>
      <c r="M90" s="8" t="n"/>
    </row>
    <row r="91">
      <c r="A91" s="3" t="inlineStr">
        <is>
          <t>BNK1TFN-003</t>
        </is>
      </c>
      <c r="B91" s="3" t="inlineStr">
        <is>
          <t>BNK1TFN</t>
        </is>
      </c>
      <c r="C91" s="3" t="inlineStr">
        <is>
          <t>195</t>
        </is>
      </c>
      <c r="D91" s="3" t="inlineStr">
        <is>
          <t>197-203</t>
        </is>
      </c>
      <c r="E91" s="3" t="inlineStr">
        <is>
          <t>When Pf3 is pressed, return to the main menu</t>
        </is>
      </c>
      <c r="F91" s="7" t="inlineStr">
        <is>
          <t xml:space="preserve">       WHEN EIBAID = DFHPF3
          EXEC CICS RETURN
             TRANSID('OMEN')
             IMMEDIATE
             RESP(WS-CICS-RESP)
             RESP2(WS-CICS-RESP2)
          END-EXEC</t>
        </is>
      </c>
      <c r="G91" s="3" t="inlineStr">
        <is>
          <t>Decisão</t>
        </is>
      </c>
      <c r="H91" s="3" t="inlineStr">
        <is>
          <t>WHEN</t>
        </is>
      </c>
      <c r="I91" s="3" t="n"/>
      <c r="J91" s="8" t="n"/>
      <c r="K91" s="8" t="n"/>
      <c r="L91" s="8" t="inlineStr">
        <is>
          <t>A validar</t>
        </is>
      </c>
      <c r="M91" s="8" t="n"/>
    </row>
    <row r="92">
      <c r="A92" s="3" t="inlineStr">
        <is>
          <t>BNK1TFN-004</t>
        </is>
      </c>
      <c r="B92" s="3" t="inlineStr">
        <is>
          <t>BNK1TFN</t>
        </is>
      </c>
      <c r="C92" s="3" t="inlineStr">
        <is>
          <t>206-207</t>
        </is>
      </c>
      <c r="D92" s="3" t="inlineStr">
        <is>
          <t>209-213</t>
        </is>
      </c>
      <c r="E92" s="3" t="inlineStr">
        <is>
          <t>If the aid or Pf12 is pressed, then send a termination message.</t>
        </is>
      </c>
      <c r="F92" s="7" t="inlineStr">
        <is>
          <t xml:space="preserve">       WHEN EIBAID = DFHAID OR DFHPF12
          PERFORM SEND-TERMINATION-MSG
          EXEC CICS
             RETURN
          END-EXEC</t>
        </is>
      </c>
      <c r="G92" s="3" t="inlineStr">
        <is>
          <t>Decisão</t>
        </is>
      </c>
      <c r="H92" s="3" t="inlineStr">
        <is>
          <t>WHEN</t>
        </is>
      </c>
      <c r="I92" s="3" t="n"/>
      <c r="J92" s="8" t="n"/>
      <c r="K92" s="8" t="n"/>
      <c r="L92" s="8" t="inlineStr">
        <is>
          <t>A validar</t>
        </is>
      </c>
      <c r="M92" s="8" t="n"/>
    </row>
    <row r="93">
      <c r="A93" s="3" t="inlineStr">
        <is>
          <t>BNK1TFN-005</t>
        </is>
      </c>
      <c r="B93" s="3" t="inlineStr">
        <is>
          <t>BNK1TFN</t>
        </is>
      </c>
      <c r="C93" s="3" t="inlineStr">
        <is>
          <t>216</t>
        </is>
      </c>
      <c r="D93" s="3" t="inlineStr">
        <is>
          <t>218-224</t>
        </is>
      </c>
      <c r="E93" s="3" t="inlineStr">
        <is>
          <t>When CLEAR is pressed</t>
        </is>
      </c>
      <c r="F93" s="7" t="inlineStr">
        <is>
          <t xml:space="preserve">       WHEN EIBAID = DFHCLEAR
         EXEC CICS SEND CONTROL
                   ERASE
                   FREEKB
         END-EXEC
         EXEC CICS RETURN
         END-EXEC</t>
        </is>
      </c>
      <c r="G93" s="3" t="inlineStr">
        <is>
          <t>Decisão</t>
        </is>
      </c>
      <c r="H93" s="3" t="inlineStr">
        <is>
          <t>WHEN</t>
        </is>
      </c>
      <c r="I93" s="3" t="n"/>
      <c r="J93" s="8" t="n"/>
      <c r="K93" s="8" t="n"/>
      <c r="L93" s="8" t="inlineStr">
        <is>
          <t>A validar</t>
        </is>
      </c>
      <c r="M93" s="8" t="n"/>
    </row>
    <row r="94">
      <c r="A94" s="3" t="inlineStr">
        <is>
          <t>BNK1TFN-006</t>
        </is>
      </c>
      <c r="B94" s="3" t="inlineStr">
        <is>
          <t>BNK1TFN</t>
        </is>
      </c>
      <c r="C94" s="3" t="inlineStr">
        <is>
          <t>227</t>
        </is>
      </c>
      <c r="D94" s="3" t="inlineStr">
        <is>
          <t>229-230</t>
        </is>
      </c>
      <c r="E94" s="3" t="inlineStr">
        <is>
          <t>When enter is pressed then process the content</t>
        </is>
      </c>
      <c r="F94" s="7" t="inlineStr">
        <is>
          <t xml:space="preserve">       WHEN EIBAID = DFHENTER
          PERFORM PROCESS-MAP</t>
        </is>
      </c>
      <c r="G94" s="3" t="inlineStr">
        <is>
          <t>Decisão</t>
        </is>
      </c>
      <c r="H94" s="3" t="inlineStr">
        <is>
          <t>WHEN</t>
        </is>
      </c>
      <c r="I94" s="3" t="n"/>
      <c r="J94" s="8" t="n"/>
      <c r="K94" s="8" t="n"/>
      <c r="L94" s="8" t="inlineStr">
        <is>
          <t>A validar</t>
        </is>
      </c>
      <c r="M94" s="8" t="n"/>
    </row>
    <row r="95">
      <c r="A95" s="3" t="inlineStr">
        <is>
          <t>BNK1TFN-007</t>
        </is>
      </c>
      <c r="B95" s="3" t="inlineStr">
        <is>
          <t>BNK1TFN</t>
        </is>
      </c>
      <c r="C95" s="3" t="inlineStr">
        <is>
          <t>233</t>
        </is>
      </c>
      <c r="D95" s="3" t="inlineStr">
        <is>
          <t>235-237</t>
        </is>
      </c>
      <c r="E95" s="3" t="inlineStr">
        <is>
          <t>When anything else happens, send the invalid key message</t>
        </is>
      </c>
      <c r="F95" s="7" t="inlineStr">
        <is>
          <t xml:space="preserve">       WHEN OTHER
          MOVE LOW-VALUES TO BNK1TFO
          MOVE 'Invalid key pressed.' TO MESSAGEO</t>
        </is>
      </c>
      <c r="G95" s="3" t="inlineStr">
        <is>
          <t>Decisão</t>
        </is>
      </c>
      <c r="H95" s="3" t="inlineStr">
        <is>
          <t>WHEN</t>
        </is>
      </c>
      <c r="I95" s="3" t="n"/>
      <c r="J95" s="8" t="n"/>
      <c r="K95" s="8" t="n"/>
      <c r="L95" s="8" t="inlineStr">
        <is>
          <t>A validar</t>
        </is>
      </c>
      <c r="M95" s="8" t="n"/>
    </row>
    <row r="96">
      <c r="A96" s="3" t="inlineStr">
        <is>
          <t>BNK1TFN-009</t>
        </is>
      </c>
      <c r="B96" s="3" t="inlineStr">
        <is>
          <t>BNK1TFN</t>
        </is>
      </c>
      <c r="C96" s="3" t="inlineStr">
        <is>
          <t>245</t>
        </is>
      </c>
      <c r="D96" s="3" t="inlineStr">
        <is>
          <t>247-255</t>
        </is>
      </c>
      <c r="E96" s="3" t="inlineStr">
        <is>
          <t>Now RETURN</t>
        </is>
      </c>
      <c r="F96" s="7" t="inlineStr">
        <is>
          <t xml:space="preserve">     EXEC CICS
        RETURN TRANSID('OTFN')
        COMMAREA(WS-COMMAREA)
        LENGTH(29)
        RESP(WS-CICS-RESP)
        RESP2(WS-CICS-RESP2)
     END-EXEC.
    IF WS-CICS-RESP NOT = DFHRESP(NORMAL)</t>
        </is>
      </c>
      <c r="G96" s="3" t="inlineStr">
        <is>
          <t>Decisão e falha</t>
        </is>
      </c>
      <c r="H96" s="3" t="inlineStr">
        <is>
          <t>IF, falha</t>
        </is>
      </c>
      <c r="I96" s="3" t="inlineStr">
        <is>
          <t>comentário curto</t>
        </is>
      </c>
      <c r="J96" s="8" t="n"/>
      <c r="K96" s="8" t="n"/>
      <c r="L96" s="8" t="inlineStr">
        <is>
          <t>A validar</t>
        </is>
      </c>
      <c r="M96" s="8" t="n"/>
    </row>
    <row r="97">
      <c r="A97" s="3" t="inlineStr">
        <is>
          <t>BNK1TFN-010</t>
        </is>
      </c>
      <c r="B97" s="3" t="inlineStr">
        <is>
          <t>BNK1TFN</t>
        </is>
      </c>
      <c r="C97" s="3" t="inlineStr">
        <is>
          <t>257-260</t>
        </is>
      </c>
      <c r="D97" s="3" t="inlineStr">
        <is>
          <t>262-264</t>
        </is>
      </c>
      <c r="E97" s="3" t="inlineStr">
        <is>
          <t>Preserve the RESP and RESP2, then set up the standard ABEND info before getting the applid, date/time etc. and linking to the Abend Handler program.</t>
        </is>
      </c>
      <c r="F97" s="7" t="inlineStr">
        <is>
          <t xml:space="preserve">       INITIALIZE ABNDINFO-REC
       MOVE EIBRESP    TO ABND-RESPCODE
       MOVE EIBRESP2   TO ABND-RESP2CODE</t>
        </is>
      </c>
      <c r="G97" s="3" t="inlineStr">
        <is>
          <t>Falha</t>
        </is>
      </c>
      <c r="H97" s="3" t="inlineStr">
        <is>
          <t>falha</t>
        </is>
      </c>
      <c r="I97" s="3" t="n"/>
      <c r="J97" s="8" t="n"/>
      <c r="K97" s="8" t="n"/>
      <c r="L97" s="8" t="inlineStr">
        <is>
          <t>A validar</t>
        </is>
      </c>
      <c r="M97" s="8" t="n"/>
    </row>
    <row r="98">
      <c r="A98" s="3" t="inlineStr">
        <is>
          <t>BNK1TFN-014</t>
        </is>
      </c>
      <c r="B98" s="3" t="inlineStr">
        <is>
          <t>BNK1TFN</t>
        </is>
      </c>
      <c r="C98" s="3" t="inlineStr">
        <is>
          <t>333-334</t>
        </is>
      </c>
      <c r="D98" s="3" t="inlineStr">
        <is>
          <t>336-340</t>
        </is>
      </c>
      <c r="E98" s="3" t="inlineStr">
        <is>
          <t>If the data passes validation go on to get an account</t>
        </is>
      </c>
      <c r="F98" s="7" t="inlineStr">
        <is>
          <t xml:space="preserve">    IF VALID-DATA
       PERFORM GET-ACC-DATA
    END-IF.
    SET SEND-DATAONLY-ALARM TO TRUE.</t>
        </is>
      </c>
      <c r="G98" s="3" t="inlineStr">
        <is>
          <t>Decisão</t>
        </is>
      </c>
      <c r="H98" s="3" t="inlineStr">
        <is>
          <t>IF</t>
        </is>
      </c>
      <c r="I98" s="3" t="n"/>
      <c r="J98" s="8" t="n"/>
      <c r="K98" s="8" t="n"/>
      <c r="L98" s="8" t="inlineStr">
        <is>
          <t>A validar</t>
        </is>
      </c>
      <c r="M98" s="8" t="n"/>
    </row>
    <row r="99">
      <c r="A99" s="3" t="inlineStr">
        <is>
          <t>BNK1TFN-016</t>
        </is>
      </c>
      <c r="B99" s="3" t="inlineStr">
        <is>
          <t>BNK1TFN</t>
        </is>
      </c>
      <c r="C99" s="3" t="inlineStr">
        <is>
          <t>354</t>
        </is>
      </c>
      <c r="D99" s="3" t="inlineStr">
        <is>
          <t>356-364</t>
        </is>
      </c>
      <c r="E99" s="3" t="inlineStr">
        <is>
          <t>Retrieve the data</t>
        </is>
      </c>
      <c r="F99" s="7" t="inlineStr">
        <is>
          <t xml:space="preserve">    EXEC CICS
       RECEIVE MAP('BNK1TF')
       MAPSET('BNK1TFM')
       INTO(BNK1TFI)
       RESP(WS-CICS-RESP)
       RESP2(WS-CICS-RESP2)
    END-EXEC.
    IF WS-CICS-RESP NOT = DFHRESP(NORMAL)</t>
        </is>
      </c>
      <c r="G99" s="3" t="inlineStr">
        <is>
          <t>Decisão e falha</t>
        </is>
      </c>
      <c r="H99" s="3" t="inlineStr">
        <is>
          <t>IF, falha</t>
        </is>
      </c>
      <c r="I99" s="3" t="inlineStr">
        <is>
          <t>comentário curto</t>
        </is>
      </c>
      <c r="J99" s="8" t="n"/>
      <c r="K99" s="8" t="n"/>
      <c r="L99" s="8" t="inlineStr">
        <is>
          <t>A validar</t>
        </is>
      </c>
      <c r="M99" s="8" t="n"/>
    </row>
    <row r="100">
      <c r="A100" s="3" t="inlineStr">
        <is>
          <t>BNK1TFN-017</t>
        </is>
      </c>
      <c r="B100" s="3" t="inlineStr">
        <is>
          <t>BNK1TFN</t>
        </is>
      </c>
      <c r="C100" s="3" t="inlineStr">
        <is>
          <t>366-369</t>
        </is>
      </c>
      <c r="D100" s="3" t="inlineStr">
        <is>
          <t>371-373</t>
        </is>
      </c>
      <c r="E100" s="3" t="inlineStr">
        <is>
          <t>Preserve the RESP and RESP2, then set up the standard ABEND info before getting the applid, date/time etc. and linking to the Abend Handler program.</t>
        </is>
      </c>
      <c r="F100" s="7" t="inlineStr">
        <is>
          <t xml:space="preserve">       INITIALIZE ABNDINFO-REC
       MOVE EIBRESP    TO ABND-RESPCODE
       MOVE EIBRESP2   TO ABND-RESP2CODE</t>
        </is>
      </c>
      <c r="G100" s="3" t="inlineStr">
        <is>
          <t>Falha</t>
        </is>
      </c>
      <c r="H100" s="3" t="inlineStr">
        <is>
          <t>falha</t>
        </is>
      </c>
      <c r="I100" s="3" t="n"/>
      <c r="J100" s="8" t="n"/>
      <c r="K100" s="8" t="n"/>
      <c r="L100" s="8" t="inlineStr">
        <is>
          <t>A validar</t>
        </is>
      </c>
      <c r="M100" s="8" t="n"/>
    </row>
    <row r="101">
      <c r="A101" s="3" t="inlineStr">
        <is>
          <t>BNK1TFN-019</t>
        </is>
      </c>
      <c r="B101" s="3" t="inlineStr">
        <is>
          <t>BNK1TFN</t>
        </is>
      </c>
      <c r="C101" s="3" t="inlineStr">
        <is>
          <t>431</t>
        </is>
      </c>
      <c r="D101" s="3" t="inlineStr">
        <is>
          <t>433-467</t>
        </is>
      </c>
      <c r="E101" s="3" t="inlineStr">
        <is>
          <t>Perform validation on the incoming fields</t>
        </is>
      </c>
      <c r="F101" s="7" t="inlineStr">
        <is>
          <t xml:space="preserve">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t>
        </is>
      </c>
      <c r="G101" s="3" t="inlineStr">
        <is>
          <t>Decisão</t>
        </is>
      </c>
      <c r="H101" s="3" t="inlineStr">
        <is>
          <t>IF</t>
        </is>
      </c>
      <c r="I101" s="3" t="n"/>
      <c r="J101" s="8" t="n"/>
      <c r="K101" s="8" t="n"/>
      <c r="L101" s="8" t="inlineStr">
        <is>
          <t>A validar</t>
        </is>
      </c>
      <c r="M101" s="8" t="n"/>
    </row>
    <row r="102">
      <c r="A102" s="3" t="inlineStr">
        <is>
          <t>BNK1TFN-022</t>
        </is>
      </c>
      <c r="B102" s="3" t="inlineStr">
        <is>
          <t>BNK1TFN</t>
        </is>
      </c>
      <c r="C102" s="3" t="inlineStr">
        <is>
          <t>492</t>
        </is>
      </c>
      <c r="D102" s="3" t="inlineStr">
        <is>
          <t>494-504</t>
        </is>
      </c>
      <c r="E102" s="3" t="inlineStr">
        <is>
          <t>Provide the correct Amount</t>
        </is>
      </c>
      <c r="F102" s="7" t="inlineStr">
        <is>
          <t xml:space="preserve">    MOVE WS-AMOUNT-AS-FLOAT TO SUBPGM-AMT.
    EXEC CICS LINK
       PROGRAM('XFRFUN')
       COMMAREA(SUBPGM-PARMS)
       RESP(WS-CICS-RESP)
       RESP2(WS-CICS-RESP2)
       SYNCONRETURN
    END-EXEC.
    IF WS-CICS-RESP NOT = DFHRESP(NORMAL)</t>
        </is>
      </c>
      <c r="G102" s="3" t="inlineStr">
        <is>
          <t>Decisão e falha</t>
        </is>
      </c>
      <c r="H102" s="3" t="inlineStr">
        <is>
          <t>IF, falha</t>
        </is>
      </c>
      <c r="I102" s="3" t="n"/>
      <c r="J102" s="8" t="n"/>
      <c r="K102" s="8" t="n"/>
      <c r="L102" s="8" t="inlineStr">
        <is>
          <t>A validar</t>
        </is>
      </c>
      <c r="M102" s="8" t="n"/>
    </row>
    <row r="103">
      <c r="A103" s="3" t="inlineStr">
        <is>
          <t>BNK1TFN-023</t>
        </is>
      </c>
      <c r="B103" s="3" t="inlineStr">
        <is>
          <t>BNK1TFN</t>
        </is>
      </c>
      <c r="C103" s="3" t="inlineStr">
        <is>
          <t>506-509</t>
        </is>
      </c>
      <c r="D103" s="3" t="inlineStr">
        <is>
          <t>511-513</t>
        </is>
      </c>
      <c r="E103" s="3" t="inlineStr">
        <is>
          <t>Preserve the RESP and RESP2, then set up the standard ABEND info before getting the applid, date/time etc. and linking to the Abend Handler program.</t>
        </is>
      </c>
      <c r="F103" s="7" t="inlineStr">
        <is>
          <t xml:space="preserve">       INITIALIZE ABNDINFO-REC
       MOVE EIBRESP    TO ABND-RESPCODE
       MOVE EIBRESP2   TO ABND-RESP2CODE</t>
        </is>
      </c>
      <c r="G103" s="3" t="inlineStr">
        <is>
          <t>Falha</t>
        </is>
      </c>
      <c r="H103" s="3" t="inlineStr">
        <is>
          <t>falha</t>
        </is>
      </c>
      <c r="I103" s="3" t="n"/>
      <c r="J103" s="8" t="n"/>
      <c r="K103" s="8" t="n"/>
      <c r="L103" s="8" t="inlineStr">
        <is>
          <t>A validar</t>
        </is>
      </c>
      <c r="M103" s="8" t="n"/>
    </row>
    <row r="104">
      <c r="A104" s="3" t="inlineStr">
        <is>
          <t>BNK1TFN-026</t>
        </is>
      </c>
      <c r="B104" s="3" t="inlineStr">
        <is>
          <t>BNK1TFN</t>
        </is>
      </c>
      <c r="C104" s="3" t="inlineStr">
        <is>
          <t>580-581</t>
        </is>
      </c>
      <c r="D104" s="3" t="inlineStr">
        <is>
          <t>582-617</t>
        </is>
      </c>
      <c r="E104" s="3" t="inlineStr">
        <is>
          <t>If an error was flagged by XFRFUN then set up an appropriate error message.</t>
        </is>
      </c>
      <c r="F104" s="7" t="inlineStr">
        <is>
          <t xml:space="preserve">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t>
        </is>
      </c>
      <c r="G104" s="3" t="inlineStr">
        <is>
          <t>Decisão</t>
        </is>
      </c>
      <c r="H104" s="3" t="inlineStr">
        <is>
          <t>IF, EVALUATE, WHEN</t>
        </is>
      </c>
      <c r="I104" s="3" t="inlineStr">
        <is>
          <t>trecho truncado (30 linhas)</t>
        </is>
      </c>
      <c r="J104" s="8" t="n"/>
      <c r="K104" s="8" t="n"/>
      <c r="L104" s="8" t="inlineStr">
        <is>
          <t>A validar</t>
        </is>
      </c>
      <c r="M104" s="8" t="n"/>
    </row>
    <row r="105">
      <c r="A105" s="3" t="inlineStr">
        <is>
          <t>BNK1TFN-028</t>
        </is>
      </c>
      <c r="B105" s="3" t="inlineStr">
        <is>
          <t>BNK1TFN</t>
        </is>
      </c>
      <c r="C105" s="3" t="inlineStr">
        <is>
          <t>665-669</t>
        </is>
      </c>
      <c r="D105" s="3" t="inlineStr">
        <is>
          <t>671-680</t>
        </is>
      </c>
      <c r="E105" s="3" t="inlineStr">
        <is>
          <t>Send/show the MAP If the map needs to have its data erased</t>
        </is>
      </c>
      <c r="F105" s="7" t="inlineStr">
        <is>
          <t xml:space="preserve">    IF SEND-ERASE
       EXEC CICS SEND MAP('BNK1TF')
          MAPSET('BNK1TFM')
          FROM(BNK1TFO)
          ERASE
          RESP(WS-CICS-RESP)
          RESP2(WS-CICS-RESP2)
       END-EXEC
       IF WS-CICS-RESP NOT = DFHRESP(NORMAL)</t>
        </is>
      </c>
      <c r="G105" s="3" t="inlineStr">
        <is>
          <t>Decisão e falha</t>
        </is>
      </c>
      <c r="H105" s="3" t="inlineStr">
        <is>
          <t>IF, falha</t>
        </is>
      </c>
      <c r="I105" s="3" t="n"/>
      <c r="J105" s="8" t="n"/>
      <c r="K105" s="8" t="n"/>
      <c r="L105" s="8" t="inlineStr">
        <is>
          <t>A validar</t>
        </is>
      </c>
      <c r="M105" s="8" t="n"/>
    </row>
    <row r="106">
      <c r="A106" s="3" t="inlineStr">
        <is>
          <t>BNK1TFN-029</t>
        </is>
      </c>
      <c r="B106" s="3" t="inlineStr">
        <is>
          <t>BNK1TFN</t>
        </is>
      </c>
      <c r="C106" s="3" t="inlineStr">
        <is>
          <t>682-685</t>
        </is>
      </c>
      <c r="D106" s="3" t="inlineStr">
        <is>
          <t>687-689</t>
        </is>
      </c>
      <c r="E106" s="3" t="inlineStr">
        <is>
          <t>Preserve the RESP and RESP2, then set up the standard ABEND info before getting the applid, date/time etc. and linking to the Abend Handler program.</t>
        </is>
      </c>
      <c r="F106" s="7" t="inlineStr">
        <is>
          <t xml:space="preserve">          INITIALIZE ABNDINFO-REC
          MOVE EIBRESP    TO ABND-RESPCODE
          MOVE EIBRESP2   TO ABND-RESP2CODE</t>
        </is>
      </c>
      <c r="G106" s="3" t="inlineStr">
        <is>
          <t>Falha</t>
        </is>
      </c>
      <c r="H106" s="3" t="inlineStr">
        <is>
          <t>falha</t>
        </is>
      </c>
      <c r="I106" s="3" t="n"/>
      <c r="J106" s="8" t="n"/>
      <c r="K106" s="8" t="n"/>
      <c r="L106" s="8" t="inlineStr">
        <is>
          <t>A validar</t>
        </is>
      </c>
      <c r="M106" s="8" t="n"/>
    </row>
    <row r="107">
      <c r="A107" s="3" t="inlineStr">
        <is>
          <t>BNK1TFN-031</t>
        </is>
      </c>
      <c r="B107" s="3" t="inlineStr">
        <is>
          <t>BNK1TFN</t>
        </is>
      </c>
      <c r="C107" s="3" t="inlineStr">
        <is>
          <t>743</t>
        </is>
      </c>
      <c r="D107" s="3" t="inlineStr">
        <is>
          <t>745-754</t>
        </is>
      </c>
      <c r="E107" s="3" t="inlineStr">
        <is>
          <t>If the map just needs a resend of only the data</t>
        </is>
      </c>
      <c r="F107" s="7" t="inlineStr">
        <is>
          <t xml:space="preserve">    IF SEND-DATAONLY
       EXEC CICS SEND MAP('BNK1TF')
          MAPSET('BNK1TFM')
          FROM(BNK1TFO)
          DATAONLY
          RESP(WS-CICS-RESP)
          RESP2(WS-CICS-RESP2)
       END-EXEC
       IF WS-CICS-RESP NOT = DFHRESP(NORMAL)</t>
        </is>
      </c>
      <c r="G107" s="3" t="inlineStr">
        <is>
          <t>Decisão e falha</t>
        </is>
      </c>
      <c r="H107" s="3" t="inlineStr">
        <is>
          <t>IF, falha</t>
        </is>
      </c>
      <c r="I107" s="3" t="n"/>
      <c r="J107" s="8" t="n"/>
      <c r="K107" s="8" t="n"/>
      <c r="L107" s="8" t="inlineStr">
        <is>
          <t>A validar</t>
        </is>
      </c>
      <c r="M107" s="8" t="n"/>
    </row>
    <row r="108">
      <c r="A108" s="3" t="inlineStr">
        <is>
          <t>BNK1TFN-032</t>
        </is>
      </c>
      <c r="B108" s="3" t="inlineStr">
        <is>
          <t>BNK1TFN</t>
        </is>
      </c>
      <c r="C108" s="3" t="inlineStr">
        <is>
          <t>756-759</t>
        </is>
      </c>
      <c r="D108" s="3" t="inlineStr">
        <is>
          <t>761-763</t>
        </is>
      </c>
      <c r="E108" s="3" t="inlineStr">
        <is>
          <t>Preserve the RESP and RESP2, then set up the standard ABEND info before getting the applid, date/time etc. and linking to the Abend Handler program.</t>
        </is>
      </c>
      <c r="F108" s="7" t="inlineStr">
        <is>
          <t xml:space="preserve">          INITIALIZE ABNDINFO-REC
          MOVE EIBRESP    TO ABND-RESPCODE
          MOVE EIBRESP2   TO ABND-RESP2CODE</t>
        </is>
      </c>
      <c r="G108" s="3" t="inlineStr">
        <is>
          <t>Falha</t>
        </is>
      </c>
      <c r="H108" s="3" t="inlineStr">
        <is>
          <t>falha</t>
        </is>
      </c>
      <c r="I108" s="3" t="n"/>
      <c r="J108" s="8" t="n"/>
      <c r="K108" s="8" t="n"/>
      <c r="L108" s="8" t="inlineStr">
        <is>
          <t>A validar</t>
        </is>
      </c>
      <c r="M108" s="8" t="n"/>
    </row>
    <row r="109">
      <c r="A109" s="3" t="inlineStr">
        <is>
          <t>BNK1TFN-034</t>
        </is>
      </c>
      <c r="B109" s="3" t="inlineStr">
        <is>
          <t>BNK1TFN</t>
        </is>
      </c>
      <c r="C109" s="3" t="inlineStr">
        <is>
          <t>817</t>
        </is>
      </c>
      <c r="D109" s="3" t="inlineStr">
        <is>
          <t>819-829</t>
        </is>
      </c>
      <c r="E109" s="3" t="inlineStr">
        <is>
          <t>If we have elected to send the map and a beep</t>
        </is>
      </c>
      <c r="F109" s="7" t="inlineStr">
        <is>
          <t xml:space="preserve">    IF SEND-DATAONLY-ALARM
       EXEC CICS SEND MAP('BNK1TF')
          MAPSET('BNK1TFM')
          FROM(BNK1TFO)
          DATAONLY
          ALARM
          RESP(WS-CICS-RESP)
          RESP2(WS-CICS-RESP2)
       END-EXEC
       IF WS-CICS-RESP NOT = DFHRESP(NORMAL)</t>
        </is>
      </c>
      <c r="G109" s="3" t="inlineStr">
        <is>
          <t>Decisão e falha</t>
        </is>
      </c>
      <c r="H109" s="3" t="inlineStr">
        <is>
          <t>IF, falha</t>
        </is>
      </c>
      <c r="I109" s="3" t="n"/>
      <c r="J109" s="8" t="n"/>
      <c r="K109" s="8" t="n"/>
      <c r="L109" s="8" t="inlineStr">
        <is>
          <t>A validar</t>
        </is>
      </c>
      <c r="M109" s="8" t="n"/>
    </row>
    <row r="110">
      <c r="A110" s="3" t="inlineStr">
        <is>
          <t>BNK1TFN-035</t>
        </is>
      </c>
      <c r="B110" s="3" t="inlineStr">
        <is>
          <t>BNK1TFN</t>
        </is>
      </c>
      <c r="C110" s="3" t="inlineStr">
        <is>
          <t>831-834</t>
        </is>
      </c>
      <c r="D110" s="3" t="inlineStr">
        <is>
          <t>836-838</t>
        </is>
      </c>
      <c r="E110" s="3" t="inlineStr">
        <is>
          <t>Preserve the RESP and RESP2, then set up the standard ABEND info before getting the applid, date/time etc. and linking to the Abend Handler program.</t>
        </is>
      </c>
      <c r="F110" s="7" t="inlineStr">
        <is>
          <t xml:space="preserve">          INITIALIZE ABNDINFO-REC
          MOVE EIBRESP    TO ABND-RESPCODE
          MOVE EIBRESP2   TO ABND-RESP2CODE</t>
        </is>
      </c>
      <c r="G110" s="3" t="inlineStr">
        <is>
          <t>Falha</t>
        </is>
      </c>
      <c r="H110" s="3" t="inlineStr">
        <is>
          <t>falha</t>
        </is>
      </c>
      <c r="I110" s="3" t="n"/>
      <c r="J110" s="8" t="n"/>
      <c r="K110" s="8" t="n"/>
      <c r="L110" s="8" t="inlineStr">
        <is>
          <t>A validar</t>
        </is>
      </c>
      <c r="M110" s="8" t="n"/>
    </row>
    <row r="111">
      <c r="A111" s="3" t="inlineStr">
        <is>
          <t>BNK1TFN-037</t>
        </is>
      </c>
      <c r="B111" s="3" t="inlineStr">
        <is>
          <t>BNK1TFN</t>
        </is>
      </c>
      <c r="C111" s="3" t="inlineStr">
        <is>
          <t>897</t>
        </is>
      </c>
      <c r="D111" s="3" t="inlineStr">
        <is>
          <t>899-907</t>
        </is>
      </c>
      <c r="E111" s="3" t="inlineStr">
        <is>
          <t>Send the termination message</t>
        </is>
      </c>
      <c r="F111" s="7" t="inlineStr">
        <is>
          <t xml:space="preserve">    EXEC CICS SEND TEXT
       FROM(END-OF-SESSION-MESSAGE)
       ERASE
       FREEKB
       RESP(WS-CICS-RESP)
       RESP2(WS-CICS-RESP2)
    END-EXEC.
    IF WS-CICS-RESP NOT = DFHRESP(NORMAL)</t>
        </is>
      </c>
      <c r="G111" s="3" t="inlineStr">
        <is>
          <t>Decisão e falha</t>
        </is>
      </c>
      <c r="H111" s="3" t="inlineStr">
        <is>
          <t>IF, falha</t>
        </is>
      </c>
      <c r="I111" s="3" t="n"/>
      <c r="J111" s="8" t="n"/>
      <c r="K111" s="8" t="n"/>
      <c r="L111" s="8" t="inlineStr">
        <is>
          <t>A validar</t>
        </is>
      </c>
      <c r="M111" s="8" t="n"/>
    </row>
    <row r="112">
      <c r="A112" s="3" t="inlineStr">
        <is>
          <t>BNK1TFN-038</t>
        </is>
      </c>
      <c r="B112" s="3" t="inlineStr">
        <is>
          <t>BNK1TFN</t>
        </is>
      </c>
      <c r="C112" s="3" t="inlineStr">
        <is>
          <t>909-912</t>
        </is>
      </c>
      <c r="D112" s="3" t="inlineStr">
        <is>
          <t>914-916</t>
        </is>
      </c>
      <c r="E112" s="3" t="inlineStr">
        <is>
          <t>Preserve the RESP and RESP2, then set up the standard ABEND info before getting the applid, date/time etc. and linking to the Abend Handler program.</t>
        </is>
      </c>
      <c r="F112" s="7" t="inlineStr">
        <is>
          <t xml:space="preserve">       INITIALIZE ABNDINFO-REC
       MOVE EIBRESP    TO ABND-RESPCODE
       MOVE EIBRESP2   TO ABND-RESP2CODE</t>
        </is>
      </c>
      <c r="G112" s="3" t="inlineStr">
        <is>
          <t>Falha</t>
        </is>
      </c>
      <c r="H112" s="3" t="inlineStr">
        <is>
          <t>falha</t>
        </is>
      </c>
      <c r="I112" s="3" t="n"/>
      <c r="J112" s="8" t="n"/>
      <c r="K112" s="8" t="n"/>
      <c r="L112" s="8" t="inlineStr">
        <is>
          <t>A validar</t>
        </is>
      </c>
      <c r="M112" s="8" t="n"/>
    </row>
    <row r="113">
      <c r="A113" s="3" t="inlineStr">
        <is>
          <t>BNK1TFN-040</t>
        </is>
      </c>
      <c r="B113" s="3" t="inlineStr">
        <is>
          <t>BNK1TFN</t>
        </is>
      </c>
      <c r="C113" s="3" t="inlineStr">
        <is>
          <t>973</t>
        </is>
      </c>
      <c r="D113" s="3" t="inlineStr">
        <is>
          <t>975-986</t>
        </is>
      </c>
      <c r="E113" s="3" t="inlineStr">
        <is>
          <t>Issue an abend</t>
        </is>
      </c>
      <c r="F113" s="7" t="inlineStr">
        <is>
          <t xml:space="preserve">    DISPLAY WS-FAIL-INFO.
    EXEC CICS ABEND
       ABCODE('HBNK')
       NODUMP
    END-EXEC.
ATT999.
    EXIT.
VALIDATE-AMOUNT SECTION.
VA010.</t>
        </is>
      </c>
      <c r="G113" s="3" t="inlineStr">
        <is>
          <t>Falha</t>
        </is>
      </c>
      <c r="H113" s="3" t="inlineStr">
        <is>
          <t>falha</t>
        </is>
      </c>
      <c r="I113" s="3" t="inlineStr">
        <is>
          <t>comentário curto</t>
        </is>
      </c>
      <c r="J113" s="8" t="n"/>
      <c r="K113" s="8" t="n"/>
      <c r="L113" s="8" t="inlineStr">
        <is>
          <t>A validar</t>
        </is>
      </c>
      <c r="M113" s="8" t="n"/>
    </row>
    <row r="114">
      <c r="A114" s="3" t="inlineStr">
        <is>
          <t>BNK1TFN-041</t>
        </is>
      </c>
      <c r="B114" s="3" t="inlineStr">
        <is>
          <t>BNK1TFN</t>
        </is>
      </c>
      <c r="C114" s="3" t="inlineStr">
        <is>
          <t>988-989</t>
        </is>
      </c>
      <c r="D114" s="3" t="inlineStr">
        <is>
          <t>991-999</t>
        </is>
      </c>
      <c r="E114" s="3" t="inlineStr">
        <is>
          <t>Validate the amount entered. Is it greater than 0?</t>
        </is>
      </c>
      <c r="F114" s="7" t="inlineStr">
        <is>
          <t xml:space="preserve">    IF AMTL = ZERO
       MOVE 'The Amount entered must be numeric.' TO
          MESSAGEO
       MOVE 'N' TO VALID-DATA-SW
       MOVE -1 TO AMTL
       GO TO VA999
    END-IF
    IF AMTI(1:AMTL) IS NUMERIC</t>
        </is>
      </c>
      <c r="G114" s="3" t="inlineStr">
        <is>
          <t>Decisão</t>
        </is>
      </c>
      <c r="H114" s="3" t="inlineStr">
        <is>
          <t>IF</t>
        </is>
      </c>
      <c r="I114" s="3" t="n"/>
      <c r="J114" s="8" t="n"/>
      <c r="K114" s="8" t="n"/>
      <c r="L114" s="8" t="inlineStr">
        <is>
          <t>A validar</t>
        </is>
      </c>
      <c r="M114" s="8" t="n"/>
    </row>
    <row r="115">
      <c r="A115" s="3" t="inlineStr">
        <is>
          <t>BNK1TFN-042</t>
        </is>
      </c>
      <c r="B115" s="3" t="inlineStr">
        <is>
          <t>BNK1TFN</t>
        </is>
      </c>
      <c r="C115" s="3" t="inlineStr">
        <is>
          <t>1001</t>
        </is>
      </c>
      <c r="D115" s="3" t="inlineStr">
        <is>
          <t>1003-1021</t>
        </is>
      </c>
      <c r="E115" s="3" t="inlineStr">
        <is>
          <t>Is it a positive amount?</t>
        </is>
      </c>
      <c r="F115" s="7" t="inlineStr">
        <is>
          <t xml:space="preserve">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t>
        </is>
      </c>
      <c r="G115" s="3" t="inlineStr">
        <is>
          <t>Decisão</t>
        </is>
      </c>
      <c r="H115" s="3" t="inlineStr">
        <is>
          <t>IF</t>
        </is>
      </c>
      <c r="I115" s="3" t="n"/>
      <c r="J115" s="8" t="n"/>
      <c r="K115" s="8" t="n"/>
      <c r="L115" s="8" t="inlineStr">
        <is>
          <t>A validar</t>
        </is>
      </c>
      <c r="M115" s="8" t="n"/>
    </row>
    <row r="116">
      <c r="A116" s="3" t="inlineStr">
        <is>
          <t>BNK1TFN-043</t>
        </is>
      </c>
      <c r="B116" s="3" t="inlineStr">
        <is>
          <t>BNK1TFN</t>
        </is>
      </c>
      <c r="C116" s="3" t="inlineStr">
        <is>
          <t>1024</t>
        </is>
      </c>
      <c r="D116" s="3" t="inlineStr">
        <is>
          <t>1026-1063</t>
        </is>
      </c>
      <c r="E116" s="3" t="inlineStr">
        <is>
          <t>Check if it is numeric</t>
        </is>
      </c>
      <c r="F116" s="7" t="inlineStr">
        <is>
          <t xml:space="preserve">    IF WS-NUM-COUNT-TOTAL = AMTL
       MOVE 'The Amount entered must be numeric.' TO
          MESSAGEO
       MOVE 'N' TO VALID-DATA-SW
       MOVE -1 TO AMTL
       GO TO VA999
    END-IF.
    COMPUTE WS-AMOUNT-UNSTR-L = AMTL - WS-NUM-COUNT-TOTAL.
[D]     DISPLAY 'There are ' ws-num-count-total ' leading spaces'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t>
        </is>
      </c>
      <c r="G116" s="3" t="inlineStr">
        <is>
          <t>Decisão</t>
        </is>
      </c>
      <c r="H116" s="3" t="inlineStr">
        <is>
          <t>IF</t>
        </is>
      </c>
      <c r="I116" s="3" t="inlineStr">
        <is>
          <t>trecho truncado (30 linhas)</t>
        </is>
      </c>
      <c r="J116" s="8" t="n"/>
      <c r="K116" s="8" t="n"/>
      <c r="L116" s="8" t="inlineStr">
        <is>
          <t>A validar</t>
        </is>
      </c>
      <c r="M116" s="8" t="n"/>
    </row>
    <row r="117">
      <c r="A117" s="3" t="inlineStr">
        <is>
          <t>BNK1TFN-044</t>
        </is>
      </c>
      <c r="B117" s="3" t="inlineStr">
        <is>
          <t>BNK1TFN</t>
        </is>
      </c>
      <c r="C117" s="3" t="inlineStr">
        <is>
          <t>1080-1081</t>
        </is>
      </c>
      <c r="D117" s="3" t="inlineStr">
        <is>
          <t>1083-1091</t>
        </is>
      </c>
      <c r="E117" s="3" t="inlineStr">
        <is>
          <t>We no longer support transferring negative amounts. Any - sign is a deal breaker!</t>
        </is>
      </c>
      <c r="F117" s="7" t="inlineStr">
        <is>
          <t xml:space="preserve">    IF WS-NUM-COUNT-MINUS &gt; 0
       MOVE SPACES TO MESSAGEO
       STRING 'Please supply a positive amount.'
          DELIMITED BY SIZE,
          INTO MESSAGEO
       MOVE 'N' TO VALID-DATA-SW
       MOVE -1 TO AMTL
       GO TO VA999
    END-IF.</t>
        </is>
      </c>
      <c r="G117" s="3" t="inlineStr">
        <is>
          <t>Decisão</t>
        </is>
      </c>
      <c r="H117" s="3" t="inlineStr">
        <is>
          <t>IF</t>
        </is>
      </c>
      <c r="I117" s="3" t="n"/>
      <c r="J117" s="8" t="n"/>
      <c r="K117" s="8" t="n"/>
      <c r="L117" s="8" t="inlineStr">
        <is>
          <t>A validar</t>
        </is>
      </c>
      <c r="M117" s="8" t="n"/>
    </row>
    <row r="118">
      <c r="A118" s="3" t="inlineStr">
        <is>
          <t>BNK1TFN-045</t>
        </is>
      </c>
      <c r="B118" s="3" t="inlineStr">
        <is>
          <t>BNK1TFN</t>
        </is>
      </c>
      <c r="C118" s="3" t="inlineStr">
        <is>
          <t>1094-1098</t>
        </is>
      </c>
      <c r="D118" s="3" t="inlineStr">
        <is>
          <t>1100-1120</t>
        </is>
      </c>
      <c r="E118" s="3" t="inlineStr">
        <is>
          <t>The idea here is that if there is a decimal point, the field is not numeric. But if it is 1.1 then it is valid. So first of all we check to see that only the above chars are OK. We DO NOT tolerate embedded spaces too.</t>
        </is>
      </c>
      <c r="F118" s="7" t="inlineStr">
        <is>
          <t xml:space="preserve">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t>
        </is>
      </c>
      <c r="G118" s="3" t="inlineStr">
        <is>
          <t>Decisão</t>
        </is>
      </c>
      <c r="H118" s="3" t="inlineStr">
        <is>
          <t>IF</t>
        </is>
      </c>
      <c r="I118" s="3" t="n"/>
      <c r="J118" s="8" t="n"/>
      <c r="K118" s="8" t="n"/>
      <c r="L118" s="8" t="inlineStr">
        <is>
          <t>A validar</t>
        </is>
      </c>
      <c r="M118" s="8" t="n"/>
    </row>
    <row r="119">
      <c r="A119" s="3" t="inlineStr">
        <is>
          <t>BNK1TFN-046</t>
        </is>
      </c>
      <c r="B119" s="3" t="inlineStr">
        <is>
          <t>BNK1TFN</t>
        </is>
      </c>
      <c r="C119" s="3" t="inlineStr">
        <is>
          <t>1123</t>
        </is>
      </c>
      <c r="D119" s="3" t="inlineStr">
        <is>
          <t>1125-1138</t>
        </is>
      </c>
      <c r="E119" s="3" t="inlineStr">
        <is>
          <t>Check to make sure we only have 0 to 1 decimal points</t>
        </is>
      </c>
      <c r="F119" s="7" t="inlineStr">
        <is>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is>
      </c>
      <c r="G119" s="3" t="inlineStr">
        <is>
          <t>Decisão</t>
        </is>
      </c>
      <c r="H119" s="3" t="inlineStr">
        <is>
          <t>IF</t>
        </is>
      </c>
      <c r="I119" s="3" t="n"/>
      <c r="J119" s="8" t="n"/>
      <c r="K119" s="8" t="n"/>
      <c r="L119" s="8" t="inlineStr">
        <is>
          <t>A validar</t>
        </is>
      </c>
      <c r="M119" s="8" t="n"/>
    </row>
    <row r="120">
      <c r="A120" s="3" t="inlineStr">
        <is>
          <t>BNK1TFN-047</t>
        </is>
      </c>
      <c r="B120" s="3" t="inlineStr">
        <is>
          <t>BNK1TFN</t>
        </is>
      </c>
      <c r="C120" s="3" t="inlineStr">
        <is>
          <t>1140</t>
        </is>
      </c>
      <c r="D120" s="3" t="inlineStr">
        <is>
          <t>1142-1171</t>
        </is>
      </c>
      <c r="E120" s="3" t="inlineStr">
        <is>
          <t>Check to see if we have too many decimals!</t>
        </is>
      </c>
      <c r="F120" s="7" t="inlineStr">
        <is>
          <t xml:space="preserve">    IF WS-NUM-COUNT-POINT = 1
       MOVE ZERO TO WS-NUM-COUNT-TOTAL
       INSPECT WS-AMOUNT-UNSTR(1:WS-AMOUNT-UNSTR-L)
          TALLYING
          WS-NUM-COUNT-TOTAL FOR CHARACTERS AFTER '.'
       IF WS-NUM-COUNT-TOTAL &gt; 2
[D]           DISPLAY 'WS-NUM-COUNT-TOTAL IS ' WS-NUM-COUNT-TOTAL
          MOVE ZERO TO WS-NUM-COUNT-TOTAL WS-NUM-COUNT-POINT
          INSPECT WS-AMOUNT-UNSTR(1:WS-AMOUNT-UNSTR-L)
             TALLYING WS-NUM-COUNT-POINT
             FOR CHARACTERS BEFORE '.'
          ADD 2 TO WS-NUM-COUNT-POINT GIVING WS-NUM-COUNT-POINT
          INSPECT WS-AMOUNT-UNSTR
             (WS-NUM-COUNT-POINT:WS-AMOUNT-UNSTR-L)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is>
      </c>
      <c r="G120" s="3" t="inlineStr">
        <is>
          <t>Decisão</t>
        </is>
      </c>
      <c r="H120" s="3" t="inlineStr">
        <is>
          <t>IF</t>
        </is>
      </c>
      <c r="I120" s="3" t="n"/>
      <c r="J120" s="8" t="n"/>
      <c r="K120" s="8" t="n"/>
      <c r="L120" s="8" t="inlineStr">
        <is>
          <t>A validar</t>
        </is>
      </c>
      <c r="M120" s="8" t="n"/>
    </row>
    <row r="121">
      <c r="A121" s="3" t="inlineStr">
        <is>
          <t>BNK1TFN-048</t>
        </is>
      </c>
      <c r="B121" s="3" t="inlineStr">
        <is>
          <t>BNK1TFN</t>
        </is>
      </c>
      <c r="C121" s="3" t="inlineStr">
        <is>
          <t>1173</t>
        </is>
      </c>
      <c r="D121" s="3" t="inlineStr">
        <is>
          <t>1175-1208</t>
        </is>
      </c>
      <c r="E121" s="3" t="inlineStr">
        <is>
          <t>More than two of them are numeric</t>
        </is>
      </c>
      <c r="F121" s="7" t="inlineStr">
        <is>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t>
        </is>
      </c>
      <c r="G121" s="3" t="inlineStr">
        <is>
          <t>Decisão</t>
        </is>
      </c>
      <c r="H121" s="3" t="inlineStr">
        <is>
          <t>IF</t>
        </is>
      </c>
      <c r="I121" s="3" t="n"/>
      <c r="J121" s="8" t="n"/>
      <c r="K121" s="8" t="n"/>
      <c r="L121" s="8" t="inlineStr">
        <is>
          <t>A validar</t>
        </is>
      </c>
      <c r="M121" s="8" t="n"/>
    </row>
  </sheetData>
  <autoFilter ref="A1:M121"/>
  <dataValidations count="2">
    <dataValidation sqref="K2:K121" showDropDown="0" showInputMessage="0" showErrorMessage="0" allowBlank="1" type="list">
      <formula1>"regra de negócio,infraestrutura (excluída),a discutir"</formula1>
    </dataValidation>
    <dataValidation sqref="L2:L121" showDropDown="0" showInputMessage="0" showErrorMessage="0" allowBlank="1" type="list">
      <formula1>"A validar,Validado"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1" customWidth="1" min="3" max="3"/>
    <col width="11" customWidth="1" min="4" max="4"/>
    <col width="60" customWidth="1" min="5" max="5"/>
    <col width="72" customWidth="1" min="6" max="6"/>
    <col width="30" customWidth="1" min="7" max="7"/>
    <col width="24" customWidth="1" min="8" max="8"/>
    <col width="16" customWidth="1" min="9" max="9"/>
  </cols>
  <sheetData>
    <row r="1" ht="30" customHeight="1">
      <c r="A1" s="4" t="inlineStr">
        <is>
          <t>ID</t>
        </is>
      </c>
      <c r="B1" s="4" t="inlineStr">
        <is>
          <t>Programa</t>
        </is>
      </c>
      <c r="C1" s="4" t="inlineStr">
        <is>
          <t>Linhas do comentário</t>
        </is>
      </c>
      <c r="D1" s="4" t="inlineStr">
        <is>
          <t>Linhas do código</t>
        </is>
      </c>
      <c r="E1" s="4" t="inlineStr">
        <is>
          <t>Comentário</t>
        </is>
      </c>
      <c r="F1" s="4" t="inlineStr">
        <is>
          <t>Trecho de código</t>
        </is>
      </c>
      <c r="G1" s="4" t="inlineStr">
        <is>
          <t>Motivo do descarte</t>
        </is>
      </c>
      <c r="H1" s="4" t="inlineStr">
        <is>
          <t>Alertas</t>
        </is>
      </c>
      <c r="I1" s="4" t="inlineStr">
        <is>
          <t>Reavaliação</t>
        </is>
      </c>
    </row>
    <row r="2">
      <c r="A2" s="3" t="inlineStr">
        <is>
          <t>DBCRFUN-002</t>
        </is>
      </c>
      <c r="B2" s="3" t="inlineStr">
        <is>
          <t>DBCRFUN</t>
        </is>
      </c>
      <c r="C2" s="3" t="inlineStr">
        <is>
          <t>215-221</t>
        </is>
      </c>
      <c r="D2" s="3" t="inlineStr">
        <is>
          <t>223</t>
        </is>
      </c>
      <c r="E2" s="3" t="inlineStr">
        <is>
          <t>Determine what kind of ACCOUNT datastore we should be accessing Go and update the ACCOUNT record</t>
        </is>
      </c>
      <c r="F2" s="7" t="inlineStr">
        <is>
          <t xml:space="preserve">     PERFORM UPDATE-ACCOUNT-DB2.</t>
        </is>
      </c>
      <c r="G2" s="3" t="inlineStr">
        <is>
          <t>Procedural (sem decisão nem tratamento de falha)</t>
        </is>
      </c>
      <c r="H2" s="3" t="inlineStr">
        <is>
          <t>comentário menciona condição: reavaliar</t>
        </is>
      </c>
      <c r="I2" s="8" t="n"/>
    </row>
    <row r="3">
      <c r="A3" s="3" t="inlineStr">
        <is>
          <t>DBCRFUN-003</t>
        </is>
      </c>
      <c r="B3" s="3" t="inlineStr">
        <is>
          <t>DBCRFUN</t>
        </is>
      </c>
      <c r="C3" s="3" t="inlineStr">
        <is>
          <t>225-226</t>
        </is>
      </c>
      <c r="D3" s="3" t="inlineStr">
        <is>
          <t>229-240</t>
        </is>
      </c>
      <c r="E3" s="3" t="inlineStr">
        <is>
          <t>The COMMAREA values have now been set so all we need to do is finish</t>
        </is>
      </c>
      <c r="F3" s="7" t="inlineStr">
        <is>
          <t xml:space="preserve">    PERFORM GET-ME-OUT-OF-HERE.
A999.
    EXIT.
UPDATE-ACCOUNT-DB2 SECTION.
UAD010.
    MOVE COMM-ACCNO TO DESIRED-ACC-NO.
    MOVE DESIRED-SORT-CODE TO HV-ACCOUNT-SORTCODE.
    MOVE DESIRED-ACC-NO TO HV-ACCOUNT-ACC-NO.</t>
        </is>
      </c>
      <c r="G3" s="3" t="inlineStr">
        <is>
          <t>Procedural (sem decisão nem tratamento de falha)</t>
        </is>
      </c>
      <c r="H3" s="3" t="n"/>
      <c r="I3" s="8" t="n"/>
    </row>
    <row r="4">
      <c r="A4" s="3" t="inlineStr">
        <is>
          <t>DBCRFUN-004</t>
        </is>
      </c>
      <c r="B4" s="3" t="inlineStr">
        <is>
          <t>DBCRFUN</t>
        </is>
      </c>
      <c r="C4" s="3" t="inlineStr">
        <is>
          <t>243</t>
        </is>
      </c>
      <c r="D4" s="3" t="inlineStr">
        <is>
          <t>245-273</t>
        </is>
      </c>
      <c r="E4" s="3" t="inlineStr">
        <is>
          <t>Retrieve the account information</t>
        </is>
      </c>
      <c r="F4" s="7" t="inlineStr">
        <is>
          <t xml:space="preserv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is>
      </c>
      <c r="G4" s="3" t="inlineStr">
        <is>
          <t>Procedural (sem decisão nem tratamento de falha)</t>
        </is>
      </c>
      <c r="H4" s="3" t="n"/>
      <c r="I4" s="8" t="n"/>
    </row>
    <row r="5">
      <c r="A5" s="3" t="inlineStr">
        <is>
          <t>DBCRFUN-006</t>
        </is>
      </c>
      <c r="B5" s="3" t="inlineStr">
        <is>
          <t>DBCRFUN</t>
        </is>
      </c>
      <c r="C5" s="3" t="inlineStr">
        <is>
          <t>290-291</t>
        </is>
      </c>
      <c r="D5" s="3" t="inlineStr">
        <is>
          <t>293-297</t>
        </is>
      </c>
      <c r="E5" s="3" t="inlineStr">
        <is>
          <t>Check if SQLCODE indicates that Storm Drain processing is applicable in a workload if activated</t>
        </is>
      </c>
      <c r="F5" s="7" t="inlineStr">
        <is>
          <t xml:space="preserve">       PERFORM CHECK-FOR-STORM-DRAIN-DB2
       GO TO UAD999
    END-IF.</t>
        </is>
      </c>
      <c r="G5" s="3" t="inlineStr">
        <is>
          <t>Procedural (sem decisão nem tratamento de falha)</t>
        </is>
      </c>
      <c r="H5" s="3" t="inlineStr">
        <is>
          <t>comentário menciona condição: reavaliar</t>
        </is>
      </c>
      <c r="I5" s="8" t="n"/>
    </row>
    <row r="6">
      <c r="A6" s="3" t="inlineStr">
        <is>
          <t>DBCRFUN-010</t>
        </is>
      </c>
      <c r="B6" s="3" t="inlineStr">
        <is>
          <t>DBCRFUN</t>
        </is>
      </c>
      <c r="C6" s="3" t="inlineStr">
        <is>
          <t>380-382</t>
        </is>
      </c>
      <c r="D6" s="3" t="inlineStr">
        <is>
          <t>384-387</t>
        </is>
      </c>
      <c r="E6" s="3" t="inlineStr">
        <is>
          <t>If the SQLCODE from the SELECT is OK then update the record and update the details on the PROCTRAN (Processed transaction) datastore.</t>
        </is>
      </c>
      <c r="F6" s="7" t="inlineStr">
        <is>
          <t xml:space="preserve">    COMPUTE HV-ACCOUNT-AVAIL-BAL =
       HV-ACCOUNT-AVAIL-BAL + COMM-AMT.
    COMPUTE HV-ACCOUNT-ACTUAL-BAL =
       HV-ACCOUNT-ACTUAL-BAL + COMM-AMT.</t>
        </is>
      </c>
      <c r="G6" s="3" t="inlineStr">
        <is>
          <t>Procedural (sem decisão nem tratamento de falha)</t>
        </is>
      </c>
      <c r="H6" s="3" t="inlineStr">
        <is>
          <t>comentário menciona condição: reavaliar</t>
        </is>
      </c>
      <c r="I6" s="8" t="n"/>
    </row>
    <row r="7">
      <c r="A7" s="3" t="inlineStr">
        <is>
          <t>DBCRFUN-011</t>
        </is>
      </c>
      <c r="B7" s="3" t="inlineStr">
        <is>
          <t>DBCRFUN</t>
        </is>
      </c>
      <c r="C7" s="3" t="inlineStr">
        <is>
          <t>390</t>
        </is>
      </c>
      <c r="D7" s="3" t="inlineStr">
        <is>
          <t>392-408</t>
        </is>
      </c>
      <c r="E7" s="3" t="inlineStr">
        <is>
          <t>Update the account record</t>
        </is>
      </c>
      <c r="F7" s="7" t="inlineStr">
        <is>
          <t xml:space="preserve">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is>
      </c>
      <c r="G7" s="3" t="inlineStr">
        <is>
          <t>Procedural (sem decisão nem tratamento de falha)</t>
        </is>
      </c>
      <c r="H7" s="3" t="n"/>
      <c r="I7" s="8" t="n"/>
    </row>
    <row r="8">
      <c r="A8" s="3" t="inlineStr">
        <is>
          <t>DBCRFUN-014</t>
        </is>
      </c>
      <c r="B8" s="3" t="inlineStr">
        <is>
          <t>DBCRFUN</t>
        </is>
      </c>
      <c r="C8" s="3" t="inlineStr">
        <is>
          <t>429-430</t>
        </is>
      </c>
      <c r="D8" s="3" t="inlineStr">
        <is>
          <t>432-435</t>
        </is>
      </c>
      <c r="E8" s="3" t="inlineStr">
        <is>
          <t>Check if SQLCODE indicates that Storm Drain processing is applicable in a workload if activated</t>
        </is>
      </c>
      <c r="F8" s="7" t="inlineStr">
        <is>
          <t xml:space="preserve">       PERFORM CHECK-FOR-STORM-DRAIN-DB2
       GO TO UAD999
    END-IF.</t>
        </is>
      </c>
      <c r="G8" s="3" t="inlineStr">
        <is>
          <t>Procedural (sem decisão nem tratamento de falha)</t>
        </is>
      </c>
      <c r="H8" s="3" t="inlineStr">
        <is>
          <t>comentário menciona condição: reavaliar</t>
        </is>
      </c>
      <c r="I8" s="8" t="n"/>
    </row>
    <row r="9">
      <c r="A9" s="3" t="inlineStr">
        <is>
          <t>DBCRFUN-015</t>
        </is>
      </c>
      <c r="B9" s="3" t="inlineStr">
        <is>
          <t>DBCRFUN</t>
        </is>
      </c>
      <c r="C9" s="3" t="inlineStr">
        <is>
          <t>438-439</t>
        </is>
      </c>
      <c r="D9" s="3" t="inlineStr">
        <is>
          <t>441-448</t>
        </is>
      </c>
      <c r="E9" s="3" t="inlineStr">
        <is>
          <t>If the RESP CODE was normal then we need to write to the PROCTRAN (processed transaction) datastore.</t>
        </is>
      </c>
      <c r="F9" s="7" t="inlineStr">
        <is>
          <t xml:space="preserve">    PERFORM WRITE-TO-PROCTRAN.
UAD999.
    EXIT.
WRITE-TO-PROCTRAN SECTION.
WTP010.</t>
        </is>
      </c>
      <c r="G9" s="3" t="inlineStr">
        <is>
          <t>Procedural (sem decisão nem tratamento de falha)</t>
        </is>
      </c>
      <c r="H9" s="3" t="inlineStr">
        <is>
          <t>comentário menciona condição: reavaliar</t>
        </is>
      </c>
      <c r="I9" s="8" t="n"/>
    </row>
    <row r="10">
      <c r="A10" s="3" t="inlineStr">
        <is>
          <t>DBCRFUN-016</t>
        </is>
      </c>
      <c r="B10" s="3" t="inlineStr">
        <is>
          <t>DBCRFUN</t>
        </is>
      </c>
      <c r="C10" s="3" t="inlineStr">
        <is>
          <t>451-452</t>
        </is>
      </c>
      <c r="D10" s="3" t="inlineStr">
        <is>
          <t>454-470</t>
        </is>
      </c>
      <c r="E10" s="3" t="inlineStr">
        <is>
          <t>Write to the PROCTRAN datastore deatils regarding the successfully applied transaction.</t>
        </is>
      </c>
      <c r="F10" s="7" t="inlineStr">
        <is>
          <t xml:space="preserve">     PERFORM WRITE-TO-PROCTRAN-DB2.
WTP999.
    EXIT.
WRITE-TO-PROCTRAN-DB2 SECTION.
WTPD010.
    INITIALIZE HOST-PROCTRAN-ROW.
    INITIALIZE WS-EIBTASKN12.
    MOVE 'PRTR' TO HV-PROCTRAN-EYECATCHER.
    MOVE COMM-SORTC TO HV-PROCTRAN-SORT-CODE.
    MOVE COMM-ACCNO TO HV-PROCTRAN-ACC-NUMBER.
    MOVE EIBTASKN TO WS-EIBTASKN12.
    MOVE WS-EIBTASKN12 TO HV-PROCTRAN-REF.</t>
        </is>
      </c>
      <c r="G10" s="3" t="inlineStr">
        <is>
          <t>Procedural (sem decisão nem tratamento de falha)</t>
        </is>
      </c>
      <c r="H10" s="3" t="n"/>
      <c r="I10" s="8" t="n"/>
    </row>
    <row r="11">
      <c r="A11" s="3" t="inlineStr">
        <is>
          <t>DBCRFUN-020</t>
        </is>
      </c>
      <c r="B11" s="3" t="inlineStr">
        <is>
          <t>DBCRFUN</t>
        </is>
      </c>
      <c r="C11" s="3" t="inlineStr">
        <is>
          <t>522</t>
        </is>
      </c>
      <c r="D11" s="3" t="inlineStr">
        <is>
          <t>524-549</t>
        </is>
      </c>
      <c r="E11" s="3" t="inlineStr">
        <is>
          <t>Write a record to PROCTRAN</t>
        </is>
      </c>
      <c r="F11" s="7" t="inlineStr">
        <is>
          <t xml:space="preserve">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is>
      </c>
      <c r="G11" s="3" t="inlineStr">
        <is>
          <t>Procedural (sem decisão nem tratamento de falha)</t>
        </is>
      </c>
      <c r="H11" s="3" t="n"/>
      <c r="I11" s="8" t="n"/>
    </row>
    <row r="12">
      <c r="A12" s="3" t="inlineStr">
        <is>
          <t>DBCRFUN-024</t>
        </is>
      </c>
      <c r="B12" s="3" t="inlineStr">
        <is>
          <t>DBCRFUN</t>
        </is>
      </c>
      <c r="C12" s="3" t="inlineStr">
        <is>
          <t>580</t>
        </is>
      </c>
      <c r="D12" s="3" t="inlineStr">
        <is>
          <t>582-618</t>
        </is>
      </c>
      <c r="E12" s="3" t="inlineStr">
        <is>
          <t>Get supplemental information</t>
        </is>
      </c>
      <c r="F12"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'WTPD010 - COULD NOT ROLL BACK, POSSIBLE DATA'
                DELIMITED BY SIZE,
                'INTEGRITY ISSUE BETWEEN ACCOUNT AND PROCTRAN '
                DELIMITED BY SIZE,
                'FOR ROW:' DELIMITED BY SIZE,
                HOST-PROCTRAN-ROW DELIMITED BY SIZE,
                'EIBRESP=' DELIMITED BY SIZE,
                ABND-RESPCODE DELIMITED BY SIZE,
                ' RESP2=' DELIMITED BY SIZE,
                ABND-RESP2CODE DELIMITED BY SIZE
                INTO ABND-FREEFORM
          END-STRING</t>
        </is>
      </c>
      <c r="G12" s="3" t="inlineStr">
        <is>
          <t>Procedural (sem decisão nem tratamento de falha)</t>
        </is>
      </c>
      <c r="H12" s="3" t="inlineStr">
        <is>
          <t>comentário curto; trecho truncado (30 linhas)</t>
        </is>
      </c>
      <c r="I12" s="8" t="n"/>
    </row>
    <row r="13">
      <c r="A13" s="3" t="inlineStr">
        <is>
          <t>DBCRFUN-025</t>
        </is>
      </c>
      <c r="B13" s="3" t="inlineStr">
        <is>
          <t>DBCRFUN</t>
        </is>
      </c>
      <c r="C13" s="3" t="inlineStr">
        <is>
          <t>639-640</t>
        </is>
      </c>
      <c r="D13" s="3" t="inlineStr">
        <is>
          <t>642-644</t>
        </is>
      </c>
      <c r="E13" s="3" t="inlineStr">
        <is>
          <t>Check if SQLCODE indicates that Storm Drain processing is applicable in a workload if activated</t>
        </is>
      </c>
      <c r="F13" s="7" t="inlineStr">
        <is>
          <t xml:space="preserve">       PERFORM CHECK-FOR-STORM-DRAIN-DB2
    ELSE</t>
        </is>
      </c>
      <c r="G13" s="3" t="inlineStr">
        <is>
          <t>Procedural (sem decisão nem tratamento de falha)</t>
        </is>
      </c>
      <c r="H13" s="3" t="inlineStr">
        <is>
          <t>comentário menciona condição: reavaliar</t>
        </is>
      </c>
      <c r="I13" s="8" t="n"/>
    </row>
    <row r="14">
      <c r="A14" s="3" t="inlineStr">
        <is>
          <t>DBCRFUN-026</t>
        </is>
      </c>
      <c r="B14" s="3" t="inlineStr">
        <is>
          <t>DBCRFUN</t>
        </is>
      </c>
      <c r="C14" s="3" t="inlineStr">
        <is>
          <t>647</t>
        </is>
      </c>
      <c r="D14" s="3" t="inlineStr">
        <is>
          <t>649-669</t>
        </is>
      </c>
      <c r="E14" s="3" t="inlineStr">
        <is>
          <t>If the WRITE to PROCTRAN worked then it was a success</t>
        </is>
      </c>
      <c r="F14" s="7" t="inlineStr">
        <is>
          <t xml:space="preserve">       MOVE 'Y' TO COMM-SUCCESS
       MOVE '0' TO COMM-FAIL-CODE
    END-IF.
WTPD999.
    EXIT.
GET-ME-OUT-OF-HERE SECTION.
GMOOH010.
    EXEC CICS RETURN
    END-EXEC.
    GOBACK.
GMOOH999.
    EXIT.
CHECK-FOR-STORM-DRAIN-DB2 SECTION.
CFSDD010.</t>
        </is>
      </c>
      <c r="G14" s="3" t="inlineStr">
        <is>
          <t>Procedural (sem decisão nem tratamento de falha)</t>
        </is>
      </c>
      <c r="H14" s="3" t="inlineStr">
        <is>
          <t>comentário menciona condição: reavaliar</t>
        </is>
      </c>
      <c r="I14" s="8" t="n"/>
    </row>
    <row r="15">
      <c r="A15" s="3" t="inlineStr">
        <is>
          <t>DBCRFUN-028</t>
        </is>
      </c>
      <c r="B15" s="3" t="inlineStr">
        <is>
          <t>DBCRFUN</t>
        </is>
      </c>
      <c r="C15" s="3" t="inlineStr">
        <is>
          <t>699</t>
        </is>
      </c>
      <c r="D15" s="3" t="inlineStr">
        <is>
          <t>701-705</t>
        </is>
      </c>
      <c r="E15" s="3" t="inlineStr">
        <is>
          <t>How ABENDs are dealt with</t>
        </is>
      </c>
      <c r="F15" s="7" t="inlineStr">
        <is>
          <t>ABEND-HANDLING SECTION.
AH010.
    EXEC CICS ASSIGN ABCODE(MY-ABEND-CODE)
    END-EXEC.</t>
        </is>
      </c>
      <c r="G15" s="3" t="inlineStr">
        <is>
          <t>Procedural (sem decisão nem tratamento de falha)</t>
        </is>
      </c>
      <c r="H15" s="3" t="n"/>
      <c r="I15" s="8" t="n"/>
    </row>
    <row r="16">
      <c r="A16" s="3" t="inlineStr">
        <is>
          <t>DBCRFUN-033</t>
        </is>
      </c>
      <c r="B16" s="3" t="inlineStr">
        <is>
          <t>DBCRFUN</t>
        </is>
      </c>
      <c r="C16" s="3" t="inlineStr">
        <is>
          <t>767</t>
        </is>
      </c>
      <c r="D16" s="3" t="inlineStr">
        <is>
          <t>769-805</t>
        </is>
      </c>
      <c r="E16" s="3" t="inlineStr">
        <is>
          <t>Get supplemental information</t>
        </is>
      </c>
      <c r="F16"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Synpoint '
                DELIMITED BY SIZE,
                'Rollback.' DELIMITED BY SIZE,
                ' Possible Integrity issue following VSAM RLS '
                DELIMITED BY SIZE,
                'abend.' DELIMITED BY SIZE,
                'EIBRESP=' DELIMITED BY SIZE,
                ABND-RESPCODE DELIMITED BY SIZE,
                ' RESP2=' DELIMITED BY SIZE,
                ABND-RESP2CODE DELIMITED BY SIZE
                INTO ABND-FREEFORM
             END-STRING</t>
        </is>
      </c>
      <c r="G16" s="3" t="inlineStr">
        <is>
          <t>Procedural (sem decisão nem tratamento de falha)</t>
        </is>
      </c>
      <c r="H16" s="3" t="inlineStr">
        <is>
          <t>comentário curto; trecho truncado (30 linhas)</t>
        </is>
      </c>
      <c r="I16" s="8" t="n"/>
    </row>
    <row r="17">
      <c r="A17" s="3" t="inlineStr">
        <is>
          <t>XFRFUN-002</t>
        </is>
      </c>
      <c r="B17" s="3" t="inlineStr">
        <is>
          <t>XFRFUN</t>
        </is>
      </c>
      <c r="C17" s="3" t="inlineStr">
        <is>
          <t>299-300</t>
        </is>
      </c>
      <c r="D17" s="3" t="inlineStr">
        <is>
          <t>302-311</t>
        </is>
      </c>
      <c r="E17" s="3" t="inlineStr">
        <is>
          <t>The COMMAREA values have now been set so all we need to do is finish</t>
        </is>
      </c>
      <c r="F17" s="7" t="inlineStr">
        <is>
          <t xml:space="preserve">    PERFORM GET-ME-OUT-OF-HERE.
A999.
    EXIT.
UPDATE-ACCOUNT-DB2 SECTION.
UAD010.
    MOVE 'N' TO COMM-SUCCESS.</t>
        </is>
      </c>
      <c r="G17" s="3" t="inlineStr">
        <is>
          <t>Procedural (sem decisão nem tratamento de falha)</t>
        </is>
      </c>
      <c r="H17" s="3" t="n"/>
      <c r="I17" s="8" t="n"/>
    </row>
    <row r="18">
      <c r="A18" s="3" t="inlineStr">
        <is>
          <t>XFRFUN-005</t>
        </is>
      </c>
      <c r="B18" s="3" t="inlineStr">
        <is>
          <t>XFRFUN</t>
        </is>
      </c>
      <c r="C18" s="3" t="inlineStr">
        <is>
          <t>328</t>
        </is>
      </c>
      <c r="D18" s="3" t="inlineStr">
        <is>
          <t>330-368</t>
        </is>
      </c>
      <c r="E18" s="3" t="inlineStr">
        <is>
          <t>Get supplemental information</t>
        </is>
      </c>
      <c r="F18"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t>
        </is>
      </c>
      <c r="G18" s="3" t="inlineStr">
        <is>
          <t>Procedural (sem decisão nem tratamento de falha)</t>
        </is>
      </c>
      <c r="H18" s="3" t="inlineStr">
        <is>
          <t>comentário curto; trecho truncado (30 linhas)</t>
        </is>
      </c>
      <c r="I18" s="8" t="n"/>
    </row>
    <row r="19">
      <c r="A19" s="3" t="inlineStr">
        <is>
          <t>XFRFUN-006</t>
        </is>
      </c>
      <c r="B19" s="3" t="inlineStr">
        <is>
          <t>XFRFUN</t>
        </is>
      </c>
      <c r="C19" s="3" t="inlineStr">
        <is>
          <t>380-381</t>
        </is>
      </c>
      <c r="D19" s="3" t="inlineStr">
        <is>
          <t>383-384</t>
        </is>
      </c>
      <c r="E19" s="3" t="inlineStr">
        <is>
          <t>If the FROM account number is less than the TO account number</t>
        </is>
      </c>
      <c r="F19" s="7" t="inlineStr">
        <is>
          <t xml:space="preserve">       MOVE COMM-FACCNO TO DESIRED-ACC-NO
       MOVE COMM-FSCODE TO DESIRED-SORT-CODE</t>
        </is>
      </c>
      <c r="G19" s="3" t="inlineStr">
        <is>
          <t>Procedural (sem decisão nem tratamento de falha)</t>
        </is>
      </c>
      <c r="H19" s="3" t="inlineStr">
        <is>
          <t>comentário menciona condição: reavaliar</t>
        </is>
      </c>
      <c r="I19" s="8" t="n"/>
    </row>
    <row r="20">
      <c r="A20" s="3" t="inlineStr">
        <is>
          <t>XFRFUN-007</t>
        </is>
      </c>
      <c r="B20" s="3" t="inlineStr">
        <is>
          <t>XFRFUN</t>
        </is>
      </c>
      <c r="C20" s="3" t="inlineStr">
        <is>
          <t>387</t>
        </is>
      </c>
      <c r="D20" s="3" t="inlineStr">
        <is>
          <t>389</t>
        </is>
      </c>
      <c r="E20" s="3" t="inlineStr">
        <is>
          <t>Update the FROM account</t>
        </is>
      </c>
      <c r="F20" s="7" t="inlineStr">
        <is>
          <t xml:space="preserve">       PERFORM UPDATE-ACCOUNT-DB2-FROM</t>
        </is>
      </c>
      <c r="G20" s="3" t="inlineStr">
        <is>
          <t>Procedural (sem decisão nem tratamento de falha)</t>
        </is>
      </c>
      <c r="H20" s="3" t="n"/>
      <c r="I20" s="8" t="n"/>
    </row>
    <row r="21">
      <c r="A21" s="3" t="inlineStr">
        <is>
          <t>XFRFUN-011</t>
        </is>
      </c>
      <c r="B21" s="3" t="inlineStr">
        <is>
          <t>XFRFUN</t>
        </is>
      </c>
      <c r="C21" s="3" t="inlineStr">
        <is>
          <t>424</t>
        </is>
      </c>
      <c r="D21" s="3" t="inlineStr">
        <is>
          <t>426-463</t>
        </is>
      </c>
      <c r="E21" s="3" t="inlineStr">
        <is>
          <t>Get supplemental information</t>
        </is>
      </c>
      <c r="F21"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t>
        </is>
      </c>
      <c r="G21" s="3" t="inlineStr">
        <is>
          <t>Procedural (sem decisão nem tratamento de falha)</t>
        </is>
      </c>
      <c r="H21" s="3" t="inlineStr">
        <is>
          <t>comentário curto; trecho truncado (30 linhas)</t>
        </is>
      </c>
      <c r="I21" s="8" t="n"/>
    </row>
    <row r="22">
      <c r="A22" s="3" t="inlineStr">
        <is>
          <t>XFRFUN-016</t>
        </is>
      </c>
      <c r="B22" s="3" t="inlineStr">
        <is>
          <t>XFRFUN</t>
        </is>
      </c>
      <c r="C22" s="3" t="inlineStr">
        <is>
          <t>537</t>
        </is>
      </c>
      <c r="D22" s="3" t="inlineStr">
        <is>
          <t>539-577</t>
        </is>
      </c>
      <c r="E22" s="3" t="inlineStr">
        <is>
          <t>Get supplemental information</t>
        </is>
      </c>
      <c r="F22"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t>
        </is>
      </c>
      <c r="G22" s="3" t="inlineStr">
        <is>
          <t>Procedural (sem decisão nem tratamento de falha)</t>
        </is>
      </c>
      <c r="H22" s="3" t="inlineStr">
        <is>
          <t>comentário curto; trecho truncado (30 linhas)</t>
        </is>
      </c>
      <c r="I22" s="8" t="n"/>
    </row>
    <row r="23">
      <c r="A23" s="3" t="inlineStr">
        <is>
          <t>XFRFUN-017</t>
        </is>
      </c>
      <c r="B23" s="3" t="inlineStr">
        <is>
          <t>XFRFUN</t>
        </is>
      </c>
      <c r="C23" s="3" t="inlineStr">
        <is>
          <t>591-592</t>
        </is>
      </c>
      <c r="D23" s="3" t="inlineStr">
        <is>
          <t>594-595</t>
        </is>
      </c>
      <c r="E23" s="3" t="inlineStr">
        <is>
          <t>The FROM account number is greater than the TO account number</t>
        </is>
      </c>
      <c r="F23" s="7" t="inlineStr">
        <is>
          <t xml:space="preserve">       MOVE COMM-TACCNO TO DESIRED-ACC-NO
       MOVE COMM-TSCODE TO DESIRED-SORT-CODE</t>
        </is>
      </c>
      <c r="G23" s="3" t="inlineStr">
        <is>
          <t>Procedural (sem decisão nem tratamento de falha)</t>
        </is>
      </c>
      <c r="H23" s="3" t="n"/>
      <c r="I23" s="8" t="n"/>
    </row>
    <row r="24">
      <c r="A24" s="3" t="inlineStr">
        <is>
          <t>XFRFUN-018</t>
        </is>
      </c>
      <c r="B24" s="3" t="inlineStr">
        <is>
          <t>XFRFUN</t>
        </is>
      </c>
      <c r="C24" s="3" t="inlineStr">
        <is>
          <t>598</t>
        </is>
      </c>
      <c r="D24" s="3" t="inlineStr">
        <is>
          <t>600</t>
        </is>
      </c>
      <c r="E24" s="3" t="inlineStr">
        <is>
          <t>Update the TO account number</t>
        </is>
      </c>
      <c r="F24" s="7" t="inlineStr">
        <is>
          <t xml:space="preserve">       PERFORM UPDATE-ACCOUNT-DB2-TO</t>
        </is>
      </c>
      <c r="G24" s="3" t="inlineStr">
        <is>
          <t>Procedural (sem decisão nem tratamento de falha)</t>
        </is>
      </c>
      <c r="H24" s="3" t="n"/>
      <c r="I24" s="8" t="n"/>
    </row>
    <row r="25">
      <c r="A25" s="3" t="inlineStr">
        <is>
          <t>XFRFUN-022</t>
        </is>
      </c>
      <c r="B25" s="3" t="inlineStr">
        <is>
          <t>XFRFUN</t>
        </is>
      </c>
      <c r="C25" s="3" t="inlineStr">
        <is>
          <t>628</t>
        </is>
      </c>
      <c r="D25" s="3" t="inlineStr">
        <is>
          <t>630-668</t>
        </is>
      </c>
      <c r="E25" s="3" t="inlineStr">
        <is>
          <t>Get supplemental information</t>
        </is>
      </c>
      <c r="F25"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t>
        </is>
      </c>
      <c r="G25" s="3" t="inlineStr">
        <is>
          <t>Procedural (sem decisão nem tratamento de falha)</t>
        </is>
      </c>
      <c r="H25" s="3" t="inlineStr">
        <is>
          <t>comentário curto; trecho truncado (30 linhas)</t>
        </is>
      </c>
      <c r="I25" s="8" t="n"/>
    </row>
    <row r="26">
      <c r="A26" s="3" t="inlineStr">
        <is>
          <t>XFRFUN-023</t>
        </is>
      </c>
      <c r="B26" s="3" t="inlineStr">
        <is>
          <t>XFRFUN</t>
        </is>
      </c>
      <c r="C26" s="3" t="inlineStr">
        <is>
          <t>677</t>
        </is>
      </c>
      <c r="D26" s="3" t="inlineStr">
        <is>
          <t>679-683</t>
        </is>
      </c>
      <c r="E26" s="3" t="inlineStr">
        <is>
          <t>If the FAIL code is something else</t>
        </is>
      </c>
      <c r="F26" s="7" t="inlineStr">
        <is>
          <t xml:space="preserve">                EXEC CICS SYNCPOINT
                   ROLLBACK
                   RESP(WS-CICS-RESP)
                   RESP2(WS-CICS-RESP2)
                END-EXEC</t>
        </is>
      </c>
      <c r="G26" s="3" t="inlineStr">
        <is>
          <t>Procedural (sem decisão nem tratamento de falha)</t>
        </is>
      </c>
      <c r="H26" s="3" t="inlineStr">
        <is>
          <t>comentário menciona condição: reavaliar</t>
        </is>
      </c>
      <c r="I26" s="8" t="n"/>
    </row>
    <row r="27">
      <c r="A27" s="3" t="inlineStr">
        <is>
          <t>XFRFUN-026</t>
        </is>
      </c>
      <c r="B27" s="3" t="inlineStr">
        <is>
          <t>XFRFUN</t>
        </is>
      </c>
      <c r="C27" s="3" t="inlineStr">
        <is>
          <t>698</t>
        </is>
      </c>
      <c r="D27" s="3" t="inlineStr">
        <is>
          <t>700-737</t>
        </is>
      </c>
      <c r="E27" s="3" t="inlineStr">
        <is>
          <t>Get supplemental information</t>
        </is>
      </c>
      <c r="F27"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t>
        </is>
      </c>
      <c r="G27" s="3" t="inlineStr">
        <is>
          <t>Procedural (sem decisão nem tratamento de falha)</t>
        </is>
      </c>
      <c r="H27" s="3" t="inlineStr">
        <is>
          <t>comentário curto; trecho truncado (30 linhas)</t>
        </is>
      </c>
      <c r="I27" s="8" t="n"/>
    </row>
    <row r="28">
      <c r="A28" s="3" t="inlineStr">
        <is>
          <t>XFRFUN-029</t>
        </is>
      </c>
      <c r="B28" s="3" t="inlineStr">
        <is>
          <t>XFRFUN</t>
        </is>
      </c>
      <c r="C28" s="3" t="inlineStr">
        <is>
          <t>777</t>
        </is>
      </c>
      <c r="D28" s="3" t="inlineStr">
        <is>
          <t>779-817</t>
        </is>
      </c>
      <c r="E28" s="3" t="inlineStr">
        <is>
          <t>Get supplemental information</t>
        </is>
      </c>
      <c r="F28"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t>
        </is>
      </c>
      <c r="G28" s="3" t="inlineStr">
        <is>
          <t>Procedural (sem decisão nem tratamento de falha)</t>
        </is>
      </c>
      <c r="H28" s="3" t="inlineStr">
        <is>
          <t>comentário curto; trecho truncado (30 linhas)</t>
        </is>
      </c>
      <c r="I28" s="8" t="n"/>
    </row>
    <row r="29">
      <c r="A29" s="3" t="inlineStr">
        <is>
          <t>XFRFUN-031</t>
        </is>
      </c>
      <c r="B29" s="3" t="inlineStr">
        <is>
          <t>XFRFUN</t>
        </is>
      </c>
      <c r="C29" s="3" t="inlineStr">
        <is>
          <t>843</t>
        </is>
      </c>
      <c r="D29" s="3" t="inlineStr">
        <is>
          <t>845-882</t>
        </is>
      </c>
      <c r="E29" s="3" t="inlineStr">
        <is>
          <t>Get supplemental information</t>
        </is>
      </c>
      <c r="F29"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'UAD010(7) - Error on SYNCPOINT ROLLBACK'
                   DELIMITED BY SIZE,
                   ' after UPDATING the TO account'
                   DELIMITED BY SIZE,
                   ' EIBRESP=' DELIMITED BY SIZE,
                   ABND-RESPCODE DELIMITED BY SIZE,
                   ' RESP2=' DELIMITED BY SIZE,
                   ABND-RESP2CODE DELIMITED BY SIZE
                   INTO ABND-FREEFORM
                END-STRING
                EXEC CICS LINK PROGRAM(WS-ABEND-PGM)
                      COMMAREA(ABNDINFO-REC)</t>
        </is>
      </c>
      <c r="G29" s="3" t="inlineStr">
        <is>
          <t>Procedural (sem decisão nem tratamento de falha)</t>
        </is>
      </c>
      <c r="H29" s="3" t="inlineStr">
        <is>
          <t>comentário curto; trecho truncado (30 linhas)</t>
        </is>
      </c>
      <c r="I29" s="8" t="n"/>
    </row>
    <row r="30">
      <c r="A30" s="3" t="inlineStr">
        <is>
          <t>XFRFUN-032</t>
        </is>
      </c>
      <c r="B30" s="3" t="inlineStr">
        <is>
          <t>XFRFUN</t>
        </is>
      </c>
      <c r="C30" s="3" t="inlineStr">
        <is>
          <t>907-909</t>
        </is>
      </c>
      <c r="D30" s="3" t="inlineStr">
        <is>
          <t>911-920</t>
        </is>
      </c>
      <c r="E30" s="3" t="inlineStr">
        <is>
          <t>If the updates to the TO and FROM accounts were successful then we need to write to PROCTRAN (processed transaction) to record the successful transfer.</t>
        </is>
      </c>
      <c r="F30" s="7" t="inlineStr">
        <is>
          <t xml:space="preserve">    PERFORM WRITE-TO-PROCTRAN.
    MOVE 'Y' TO COMM-SUCCESS.
UAD999.
    EXIT.
UPDATE-ACCOUNT-DB2-FROM SECTION.
UADF010.</t>
        </is>
      </c>
      <c r="G30" s="3" t="inlineStr">
        <is>
          <t>Procedural (sem decisão nem tratamento de falha)</t>
        </is>
      </c>
      <c r="H30" s="3" t="inlineStr">
        <is>
          <t>comentário menciona condição: reavaliar</t>
        </is>
      </c>
      <c r="I30" s="8" t="n"/>
    </row>
    <row r="31">
      <c r="A31" s="3" t="inlineStr">
        <is>
          <t>XFRFUN-033</t>
        </is>
      </c>
      <c r="B31" s="3" t="inlineStr">
        <is>
          <t>XFRFUN</t>
        </is>
      </c>
      <c r="C31" s="3" t="inlineStr">
        <is>
          <t>922</t>
        </is>
      </c>
      <c r="D31" s="3" t="inlineStr">
        <is>
          <t>924-955</t>
        </is>
      </c>
      <c r="E31" s="3" t="inlineStr">
        <is>
          <t>Position ourself at the matching FROM account record</t>
        </is>
      </c>
      <c r="F31" s="7" t="inlineStr">
        <is>
          <t xml:space="preserve">    MOVE COMM-FACCNO TO DESIRED-ACC-NO.
    MOVE COMM-FSCODE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t>
        </is>
      </c>
      <c r="G31" s="3" t="inlineStr">
        <is>
          <t>Procedural (sem decisão nem tratamento de falha)</t>
        </is>
      </c>
      <c r="H31" s="3" t="inlineStr">
        <is>
          <t>trecho truncado (30 linhas)</t>
        </is>
      </c>
      <c r="I31" s="8" t="n"/>
    </row>
    <row r="32">
      <c r="A32" s="3" t="inlineStr">
        <is>
          <t>XFRFUN-035</t>
        </is>
      </c>
      <c r="B32" s="3" t="inlineStr">
        <is>
          <t>XFRFUN</t>
        </is>
      </c>
      <c r="C32" s="3" t="inlineStr">
        <is>
          <t>973-974</t>
        </is>
      </c>
      <c r="D32" s="3" t="inlineStr">
        <is>
          <t>976-980</t>
        </is>
      </c>
      <c r="E32" s="3" t="inlineStr">
        <is>
          <t>Check if SQLCODE indicates that Storm Drain processing is applicable in a workload if activated</t>
        </is>
      </c>
      <c r="F32" s="7" t="inlineStr">
        <is>
          <t xml:space="preserve">       PERFORM CHECK-FOR-STORM-DRAIN-DB2
       GO TO UADF999
    END-IF.</t>
        </is>
      </c>
      <c r="G32" s="3" t="inlineStr">
        <is>
          <t>Procedural (sem decisão nem tratamento de falha)</t>
        </is>
      </c>
      <c r="H32" s="3" t="inlineStr">
        <is>
          <t>comentário menciona condição: reavaliar</t>
        </is>
      </c>
      <c r="I32" s="8" t="n"/>
    </row>
    <row r="33">
      <c r="A33" s="3" t="inlineStr">
        <is>
          <t>XFRFUN-036</t>
        </is>
      </c>
      <c r="B33" s="3" t="inlineStr">
        <is>
          <t>XFRFUN</t>
        </is>
      </c>
      <c r="C33" s="3" t="inlineStr">
        <is>
          <t>983-984</t>
        </is>
      </c>
      <c r="D33" s="3" t="inlineStr">
        <is>
          <t>986-1008</t>
        </is>
      </c>
      <c r="E33" s="3" t="inlineStr">
        <is>
          <t>If the SQLCODE is OK then update the row on ACCOUNT for the FROM account.</t>
        </is>
      </c>
      <c r="F33" s="7" t="inlineStr">
        <is>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is>
      </c>
      <c r="G33" s="3" t="inlineStr">
        <is>
          <t>Procedural (sem decisão nem tratamento de falha)</t>
        </is>
      </c>
      <c r="H33" s="3" t="inlineStr">
        <is>
          <t>comentário menciona condição: reavaliar</t>
        </is>
      </c>
      <c r="I33" s="8" t="n"/>
    </row>
    <row r="34">
      <c r="A34" s="3" t="inlineStr">
        <is>
          <t>XFRFUN-038</t>
        </is>
      </c>
      <c r="B34" s="3" t="inlineStr">
        <is>
          <t>XFRFUN</t>
        </is>
      </c>
      <c r="C34" s="3" t="inlineStr">
        <is>
          <t>1020-1021</t>
        </is>
      </c>
      <c r="D34" s="3" t="inlineStr">
        <is>
          <t>1023-1027</t>
        </is>
      </c>
      <c r="E34" s="3" t="inlineStr">
        <is>
          <t>Check if SQLCODE indicates that Storm Drain processing is applicable in a workload if activated</t>
        </is>
      </c>
      <c r="F34" s="7" t="inlineStr">
        <is>
          <t xml:space="preserve">       PERFORM CHECK-FOR-STORM-DRAIN-DB2
       GO TO UADF999
    END-IF.</t>
        </is>
      </c>
      <c r="G34" s="3" t="inlineStr">
        <is>
          <t>Procedural (sem decisão nem tratamento de falha)</t>
        </is>
      </c>
      <c r="H34" s="3" t="inlineStr">
        <is>
          <t>comentário menciona condição: reavaliar</t>
        </is>
      </c>
      <c r="I34" s="8" t="n"/>
    </row>
    <row r="35">
      <c r="A35" s="3" t="inlineStr">
        <is>
          <t>XFRFUN-039</t>
        </is>
      </c>
      <c r="B35" s="3" t="inlineStr">
        <is>
          <t>XFRFUN</t>
        </is>
      </c>
      <c r="C35" s="3" t="inlineStr">
        <is>
          <t>1030-1031</t>
        </is>
      </c>
      <c r="D35" s="3" t="inlineStr">
        <is>
          <t>1033-1044</t>
        </is>
      </c>
      <c r="E35" s="3" t="inlineStr">
        <is>
          <t>If the update to the FROM account was OK store the updated balances away.</t>
        </is>
      </c>
      <c r="F35" s="7" t="inlineStr">
        <is>
          <t xml:space="preserve">    MOVE HV-ACCOUNT-AVAIL-BAL TO COMM-FAVBAL.
    MOVE HV-ACCOUNT-ACTUAL-BAL TO COMM-FACTBAL.
    MOVE 'Y' TO COMM-SUCCESS.
UADF999.
    EXIT.
UPDATE-ACCOUNT-DB2-TO SECTION.
UADT010.
    MOVE 'N' TO COMM-SUCCESS.</t>
        </is>
      </c>
      <c r="G35" s="3" t="inlineStr">
        <is>
          <t>Procedural (sem decisão nem tratamento de falha)</t>
        </is>
      </c>
      <c r="H35" s="3" t="inlineStr">
        <is>
          <t>comentário menciona condição: reavaliar</t>
        </is>
      </c>
      <c r="I35" s="8" t="n"/>
    </row>
    <row r="36">
      <c r="A36" s="3" t="inlineStr">
        <is>
          <t>XFRFUN-040</t>
        </is>
      </c>
      <c r="B36" s="3" t="inlineStr">
        <is>
          <t>XFRFUN</t>
        </is>
      </c>
      <c r="C36" s="3" t="inlineStr">
        <is>
          <t>1046-1047</t>
        </is>
      </c>
      <c r="D36" s="3" t="inlineStr">
        <is>
          <t>1049-1081</t>
        </is>
      </c>
      <c r="E36" s="3" t="inlineStr">
        <is>
          <t>Position ourself at the matching account record for the TO account</t>
        </is>
      </c>
      <c r="F36" s="7" t="inlineStr">
        <is>
          <t xml:space="preserve">    INITIALIZE HOST-ACCOUNT-ROW.
    MOVE COMM-TACCNO TO DESIRED-ACC-NO.
    MOVE COMM-TSCODE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t>
        </is>
      </c>
      <c r="G36" s="3" t="inlineStr">
        <is>
          <t>Procedural (sem decisão nem tratamento de falha)</t>
        </is>
      </c>
      <c r="H36" s="3" t="inlineStr">
        <is>
          <t>trecho truncado (30 linhas)</t>
        </is>
      </c>
      <c r="I36" s="8" t="n"/>
    </row>
    <row r="37">
      <c r="A37" s="3" t="inlineStr">
        <is>
          <t>XFRFUN-042</t>
        </is>
      </c>
      <c r="B37" s="3" t="inlineStr">
        <is>
          <t>XFRFUN</t>
        </is>
      </c>
      <c r="C37" s="3" t="inlineStr">
        <is>
          <t>1094-1095</t>
        </is>
      </c>
      <c r="D37" s="3" t="inlineStr">
        <is>
          <t>1097</t>
        </is>
      </c>
      <c r="E37" s="3" t="inlineStr">
        <is>
          <t>Check if SQLCODE indicates that Storm Drain processing is applicable in a workload if activated</t>
        </is>
      </c>
      <c r="F37" s="7" t="inlineStr">
        <is>
          <t xml:space="preserve">       PERFORM CHECK-FOR-STORM-DRAIN-DB2</t>
        </is>
      </c>
      <c r="G37" s="3" t="inlineStr">
        <is>
          <t>Procedural (sem decisão nem tratamento de falha)</t>
        </is>
      </c>
      <c r="H37" s="3" t="inlineStr">
        <is>
          <t>comentário menciona condição: reavaliar</t>
        </is>
      </c>
      <c r="I37" s="8" t="n"/>
    </row>
    <row r="38">
      <c r="A38" s="3" t="inlineStr">
        <is>
          <t>XFRFUN-045</t>
        </is>
      </c>
      <c r="B38" s="3" t="inlineStr">
        <is>
          <t>XFRFUN</t>
        </is>
      </c>
      <c r="C38" s="3" t="inlineStr">
        <is>
          <t>1127</t>
        </is>
      </c>
      <c r="D38" s="3" t="inlineStr">
        <is>
          <t>1129-1166</t>
        </is>
      </c>
      <c r="E38" s="3" t="inlineStr">
        <is>
          <t>Get supplemental information</t>
        </is>
      </c>
      <c r="F38"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 - Error on SYNCPOINT ROLLBACK '
                  DELIMITED BY SIZE,
                  'after failing to read TO account'
                  DELIMITED BY SIZE,
                  ' EIBRESP=' DELIMITED BY SIZE,
                  ABND-RESPCODE DELIMITED BY SIZE,
                  ' RESP2=' DELIMITED BY SIZE,
                  ABND-RESP2CODE DELIMITED BY SIZE
                  INTO ABND-FREEFORM
             END-STRING
             EXEC CICS LINK PROGRAM(WS-ABEND-PGM)
                      COMMAREA(ABNDINFO-REC)</t>
        </is>
      </c>
      <c r="G38" s="3" t="inlineStr">
        <is>
          <t>Procedural (sem decisão nem tratamento de falha)</t>
        </is>
      </c>
      <c r="H38" s="3" t="inlineStr">
        <is>
          <t>comentário curto; trecho truncado (30 linhas)</t>
        </is>
      </c>
      <c r="I38" s="8" t="n"/>
    </row>
    <row r="39">
      <c r="A39" s="3" t="inlineStr">
        <is>
          <t>XFRFUN-048</t>
        </is>
      </c>
      <c r="B39" s="3" t="inlineStr">
        <is>
          <t>XFRFUN</t>
        </is>
      </c>
      <c r="C39" s="3" t="inlineStr">
        <is>
          <t>1223</t>
        </is>
      </c>
      <c r="D39" s="3" t="inlineStr">
        <is>
          <t>1225-1262</t>
        </is>
      </c>
      <c r="E39" s="3" t="inlineStr">
        <is>
          <t>Get supplemental information</t>
        </is>
      </c>
      <c r="F39"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'UAD010-TO(2) - Error on SYNCPOINT'
                         DELIMITED BY SIZE,
                         ' ROLLBACK after updating TO account'
                         DELIMITED BY SIZE,
                         ' EIBRESP=' DELIMITED BY SIZE,
                         ABND-RESPCODE DELIMITED BY SIZE,
                         ' RESP2=' DELIMITED BY SIZE,
                         ABND-RESP2CODE DELIMITED BY SIZE
                         INTO ABND-FREEFORM
                      END-STRING
                      EXEC CICS LINK PROGRAM(WS-ABEND-PGM)</t>
        </is>
      </c>
      <c r="G39" s="3" t="inlineStr">
        <is>
          <t>Procedural (sem decisão nem tratamento de falha)</t>
        </is>
      </c>
      <c r="H39" s="3" t="inlineStr">
        <is>
          <t>comentário curto; trecho truncado (30 linhas)</t>
        </is>
      </c>
      <c r="I39" s="8" t="n"/>
    </row>
    <row r="40">
      <c r="A40" s="3" t="inlineStr">
        <is>
          <t>XFRFUN-051</t>
        </is>
      </c>
      <c r="B40" s="3" t="inlineStr">
        <is>
          <t>XFRFUN</t>
        </is>
      </c>
      <c r="C40" s="3" t="inlineStr">
        <is>
          <t>1354-1355</t>
        </is>
      </c>
      <c r="D40" s="3" t="inlineStr">
        <is>
          <t>1357-1378</t>
        </is>
      </c>
      <c r="E40" s="3" t="inlineStr">
        <is>
          <t>If the SELECT was successful, then amend the account balances and UPDATE the row back onto the ACCOUNT table.</t>
        </is>
      </c>
      <c r="F40" s="7" t="inlineStr">
        <is>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is>
      </c>
      <c r="G40" s="3" t="inlineStr">
        <is>
          <t>Procedural (sem decisão nem tratamento de falha)</t>
        </is>
      </c>
      <c r="H40" s="3" t="inlineStr">
        <is>
          <t>comentário menciona condição: reavaliar</t>
        </is>
      </c>
      <c r="I40" s="8" t="n"/>
    </row>
    <row r="41">
      <c r="A41" s="3" t="inlineStr">
        <is>
          <t>XFRFUN-055</t>
        </is>
      </c>
      <c r="B41" s="3" t="inlineStr">
        <is>
          <t>XFRFUN</t>
        </is>
      </c>
      <c r="C41" s="3" t="inlineStr">
        <is>
          <t>1421</t>
        </is>
      </c>
      <c r="D41" s="3" t="inlineStr">
        <is>
          <t>1423-1460</t>
        </is>
      </c>
      <c r="E41" s="3" t="inlineStr">
        <is>
          <t>Get supplemental information</t>
        </is>
      </c>
      <c r="F41"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'UAD010-TO(4) - Error on SYNCPOINT '
                      DELIMITED BY SIZE,
                      'ROLLBACK after Updating TO account'
                      DELIMITED BY SIZE,
                      ' EIBRESP=' DELIMITED BY SIZE,
                      ABND-RESPCODE DELIMITED BY SIZE,
                      ' RESP2=' DELIMITED BY SIZE,
                      ABND-RESP2CODE DELIMITED BY SIZE
                      INTO ABND-FREEFORM
                   END-STRING
                   EXEC CICS LINK PROGRAM(WS-ABEND-PGM)
                        COMMAREA(ABNDINFO-REC)</t>
        </is>
      </c>
      <c r="G41" s="3" t="inlineStr">
        <is>
          <t>Procedural (sem decisão nem tratamento de falha)</t>
        </is>
      </c>
      <c r="H41" s="3" t="inlineStr">
        <is>
          <t>comentário curto; trecho truncado (30 linhas)</t>
        </is>
      </c>
      <c r="I41" s="8" t="n"/>
    </row>
    <row r="42">
      <c r="A42" s="3" t="inlineStr">
        <is>
          <t>XFRFUN-058</t>
        </is>
      </c>
      <c r="B42" s="3" t="inlineStr">
        <is>
          <t>XFRFUN</t>
        </is>
      </c>
      <c r="C42" s="3" t="inlineStr">
        <is>
          <t>1552</t>
        </is>
      </c>
      <c r="D42" s="3" t="inlineStr">
        <is>
          <t>1554-1572</t>
        </is>
      </c>
      <c r="E42" s="3" t="inlineStr">
        <is>
          <t>Store the data away</t>
        </is>
      </c>
      <c r="F42" s="7" t="inlineStr">
        <is>
          <t xml:space="preserve">    MOVE HV-ACCOUNT-AVAIL-BAL  TO COMM-TAVBAL.
    MOVE HV-ACCOUNT-ACTUAL-BAL TO COMM-TACTBAL.
    MOVE 'Y' TO COMM-SUCCESS.
UADT999.
    EXIT.
WRITE-TO-PROCTRAN SECTION.
WTP010.
    PERFORM WRITE-TO-PROCTRAN-DB2.
WTP999.
    EXIT.
WRITE-TO-PROCTRAN-DB2 SECTION.
WTPD010.</t>
        </is>
      </c>
      <c r="G42" s="3" t="inlineStr">
        <is>
          <t>Procedural (sem decisão nem tratamento de falha)</t>
        </is>
      </c>
      <c r="H42" s="3" t="n"/>
      <c r="I42" s="8" t="n"/>
    </row>
    <row r="43">
      <c r="A43" s="3" t="inlineStr">
        <is>
          <t>XFRFUN-059</t>
        </is>
      </c>
      <c r="B43" s="3" t="inlineStr">
        <is>
          <t>XFRFUN</t>
        </is>
      </c>
      <c r="C43" s="3" t="inlineStr">
        <is>
          <t>1574-1575</t>
        </is>
      </c>
      <c r="D43" s="3" t="inlineStr">
        <is>
          <t>1577-1584</t>
        </is>
      </c>
      <c r="E43" s="3" t="inlineStr">
        <is>
          <t>Writes details of the successful transfer to the PROCTRAN (Processed Transaction) datastore.</t>
        </is>
      </c>
      <c r="F43" s="7" t="inlineStr">
        <is>
          <t xml:space="preserve">    INITIALIZE HOST-PROCTRAN-ROW.
    INITIALIZE WS-EIBTASKN12.
    MOVE 'PRTR' TO HV-PROCTRAN-EYECATCHER.
    MOVE COMM-FSCODE TO HV-PROCTRAN-SORT-CODE.
    MOVE COMM-FACCNO TO HV-PROCTRAN-ACC-NUMBER.
    MOVE EIBTASKN TO WS-EIBTASKN12.
    MOVE WS-EIBTASKN12 TO HV-PROCTRAN-REF.</t>
        </is>
      </c>
      <c r="G43" s="3" t="inlineStr">
        <is>
          <t>Procedural (sem decisão nem tratamento de falha)</t>
        </is>
      </c>
      <c r="H43" s="3" t="n"/>
      <c r="I43" s="8" t="n"/>
    </row>
    <row r="44">
      <c r="A44" s="3" t="inlineStr">
        <is>
          <t>XFRFUN-060</t>
        </is>
      </c>
      <c r="B44" s="3" t="inlineStr">
        <is>
          <t>XFRFUN</t>
        </is>
      </c>
      <c r="C44" s="3" t="inlineStr">
        <is>
          <t>1587</t>
        </is>
      </c>
      <c r="D44" s="3" t="inlineStr">
        <is>
          <t>1589-1625</t>
        </is>
      </c>
      <c r="E44" s="3" t="inlineStr">
        <is>
          <t>Populate the time and date</t>
        </is>
      </c>
      <c r="F44" s="7" t="inlineStr">
        <is>
          <t xml:space="preserve">    EXEC CICS ASKTIME
         ABSTIME(WS-U-TIME)
    END-EXEC.
    EXEC CICS FORMATTIME
         ABSTIME(WS-U-TIME)
         DDMMYYYY(WS-ORIG-DATE)
         TIME(HV-PROCTRAN-TIME)
         DATESEP('.')
    END-EXEC.
    MOVE WS-ORIG-DATE TO WS-ORIG-DATE-GRP-X.
    MOVE WS-ORIG-DATE-GRP-X TO HV-PROCTRAN-DATE.
    SET PROC-TY-TRANSFER IN PROCTRAN-AREA TO TRUE
    MOVE PROC-TRAN-TYPE IN PROCTRAN-AREA TO HV-PROCTRAN-TYPE.
    MOVE COMM-AMT TO HV-PROCTRAN-AMOUNT.
    SET PROC-TRAN-DESC-XFR-FLAG IN PROCTRAN-AREA TO TRUE.
    MOVE COMM-TSCODE
      TO PROC-TRAN-DESC-XFR-SORTCODE IN PROCTRAN-AREA.
    MOVE COMM-TACCNO
      TO PROC-TRAN-DESC-XFR-ACCOUNT IN PROCTRAN-AREA.
    MOVE PROC-TRAN-DESC IN PROCTRAN-AREA TO HV-PROCTRAN-DESC.
    EXEC SQL
         INSERT INTO PROCTRAN
         (
         PROCTRAN_EYECATCHER,
         PROCTRAN_SORTCODE,
         PROCTRAN_NUMBER,
         PROCTRAN_DATE,
         PROCTRAN_TIME,
         PROCTRAN_REF,
         PROCTRAN_TYPE,</t>
        </is>
      </c>
      <c r="G44" s="3" t="inlineStr">
        <is>
          <t>Procedural (sem decisão nem tratamento de falha)</t>
        </is>
      </c>
      <c r="H44" s="3" t="inlineStr">
        <is>
          <t>trecho truncado (30 linhas)</t>
        </is>
      </c>
      <c r="I44" s="8" t="n"/>
    </row>
    <row r="45">
      <c r="A45" s="3" t="inlineStr">
        <is>
          <t>XFRFUN-063</t>
        </is>
      </c>
      <c r="B45" s="3" t="inlineStr">
        <is>
          <t>XFRFUN</t>
        </is>
      </c>
      <c r="C45" s="3" t="inlineStr">
        <is>
          <t>1659</t>
        </is>
      </c>
      <c r="D45" s="3" t="inlineStr">
        <is>
          <t>1661-1697</t>
        </is>
      </c>
      <c r="E45" s="3" t="inlineStr">
        <is>
          <t>Get supplemental information</t>
        </is>
      </c>
      <c r="F45"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'WPCD'      TO ABND-CODE
       EXEC CICS ASSIGN PROGRAM(ABND-PROGRAM)
       END-EXEC
       MOVE WS-SQLCODE-DISP TO ABND-SQLCODE
       STRING 'WTPD010 - Unable to WRITE to PROCTRAN DB2 '
             DELIMITED BY SIZE,
             'datastore. Data='
             DELIMITED BY SIZE,
             HOST-PROCTRAN-ROW
             DELIMITED BY SIZE,
             '.Data inconsistency, data UPDATED on ACCOUNT file'
             DELIMITED BY SIZE,
             ' EIBRESP=' DELIMITED BY SIZE,
             ABND-RESPCODE DELIMITED BY SIZE,
             ' RESP2=' DELIMITED BY SIZE,
             ABND-RESP2CODE DELIMITED BY SIZE</t>
        </is>
      </c>
      <c r="G45" s="3" t="inlineStr">
        <is>
          <t>Procedural (sem decisão nem tratamento de falha)</t>
        </is>
      </c>
      <c r="H45" s="3" t="inlineStr">
        <is>
          <t>comentário curto; trecho truncado (30 linhas)</t>
        </is>
      </c>
      <c r="I45" s="8" t="n"/>
    </row>
    <row r="46">
      <c r="A46" s="3" t="inlineStr">
        <is>
          <t>XFRFUN-066</t>
        </is>
      </c>
      <c r="B46" s="3" t="inlineStr">
        <is>
          <t>XFRFUN</t>
        </is>
      </c>
      <c r="C46" s="3" t="inlineStr">
        <is>
          <t>1772</t>
        </is>
      </c>
      <c r="D46" s="3" t="inlineStr">
        <is>
          <t>1774-1776</t>
        </is>
      </c>
      <c r="E46" s="3" t="inlineStr">
        <is>
          <t>Deal with any abends</t>
        </is>
      </c>
      <c r="F46" s="7" t="inlineStr">
        <is>
          <t xml:space="preserve">    EXEC CICS ASSIGN
       ABCODE(MY-ABEND-CODE)
    END-EXEC.</t>
        </is>
      </c>
      <c r="G46" s="3" t="inlineStr">
        <is>
          <t>Procedural (sem decisão nem tratamento de falha)</t>
        </is>
      </c>
      <c r="H46" s="3" t="n"/>
      <c r="I46" s="8" t="n"/>
    </row>
    <row r="47">
      <c r="A47" s="3" t="inlineStr">
        <is>
          <t>XFRFUN-070</t>
        </is>
      </c>
      <c r="B47" s="3" t="inlineStr">
        <is>
          <t>XFRFUN</t>
        </is>
      </c>
      <c r="C47" s="3" t="inlineStr">
        <is>
          <t>1832</t>
        </is>
      </c>
      <c r="D47" s="3" t="inlineStr">
        <is>
          <t>1834-1870</t>
        </is>
      </c>
      <c r="E47" s="3" t="inlineStr">
        <is>
          <t>Get supplemental information</t>
        </is>
      </c>
      <c r="F47"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SYNCPOINT '
                DELIMITED BY SIZE,
                'ROLLBACK.' DELIMITED BY SIZE,
                ' Possible integrity issue following VSAM RLS '
                DELIMITED BY SIZE,
                'abend.'
                DELIMITED BY SIZE,
                ' EIBRESP=' DELIMITED BY SIZE,
                ABND-RESPCODE DELIMITED BY SIZE,
                ' RESP2=' DELIMITED BY SIZE,
                ABND-RESP2CODE DELIMITED BY SIZE
                INTO ABND-FREEFORM</t>
        </is>
      </c>
      <c r="G47" s="3" t="inlineStr">
        <is>
          <t>Procedural (sem decisão nem tratamento de falha)</t>
        </is>
      </c>
      <c r="H47" s="3" t="inlineStr">
        <is>
          <t>comentário curto; trecho truncado (30 linhas)</t>
        </is>
      </c>
      <c r="I47" s="8" t="n"/>
    </row>
    <row r="48">
      <c r="A48" s="3" t="inlineStr">
        <is>
          <t>BNK1CRA-010</t>
        </is>
      </c>
      <c r="B48" s="3" t="inlineStr">
        <is>
          <t>BNK1CRA</t>
        </is>
      </c>
      <c r="C48" s="3" t="inlineStr">
        <is>
          <t>282</t>
        </is>
      </c>
      <c r="D48" s="3" t="inlineStr">
        <is>
          <t>284-322</t>
        </is>
      </c>
      <c r="E48" s="3" t="inlineStr">
        <is>
          <t>Get supplemental information</t>
        </is>
      </c>
      <c r="F48"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TRANSID(OCRA) FAIL.'
             DELIMITED BY SIZE,
             'EIBRESP=' DELIMITED BY SIZE,
             ABND-RESPCODE DELIMITED BY SIZE,
             ' RESP2=' DELIMITED BY SIZE,
             ABND-RESP2CODE DELIMITED BY SIZE
             INTO ABND-FREEFORM
       END-STRING
       EXEC CICS LINK PROGRAM(WS-ABEND-PGM)
                 COMMAREA(ABNDINFO-REC)
       END-EXEC
       INITIALIZE WS-FAIL-INFO</t>
        </is>
      </c>
      <c r="G48" s="3" t="inlineStr">
        <is>
          <t>Procedural (sem decisão nem tratamento de falha)</t>
        </is>
      </c>
      <c r="H48" s="3" t="inlineStr">
        <is>
          <t>comentário curto; trecho truncado (30 linhas)</t>
        </is>
      </c>
      <c r="I48" s="8" t="n"/>
    </row>
    <row r="49">
      <c r="A49" s="3" t="inlineStr">
        <is>
          <t>BNK1CRA-011</t>
        </is>
      </c>
      <c r="B49" s="3" t="inlineStr">
        <is>
          <t>BNK1CRA</t>
        </is>
      </c>
      <c r="C49" s="3" t="inlineStr">
        <is>
          <t>337</t>
        </is>
      </c>
      <c r="D49" s="3" t="inlineStr">
        <is>
          <t>339</t>
        </is>
      </c>
      <c r="E49" s="3" t="inlineStr">
        <is>
          <t>Retrieve the data from the map</t>
        </is>
      </c>
      <c r="F49" s="7" t="inlineStr">
        <is>
          <t xml:space="preserve">    PERFORM RECEIVE-MAP.</t>
        </is>
      </c>
      <c r="G49" s="3" t="inlineStr">
        <is>
          <t>Procedural (sem decisão nem tratamento de falha)</t>
        </is>
      </c>
      <c r="H49" s="3" t="n"/>
      <c r="I49" s="8" t="n"/>
    </row>
    <row r="50">
      <c r="A50" s="3" t="inlineStr">
        <is>
          <t>BNK1CRA-012</t>
        </is>
      </c>
      <c r="B50" s="3" t="inlineStr">
        <is>
          <t>BNK1CRA</t>
        </is>
      </c>
      <c r="C50" s="3" t="inlineStr">
        <is>
          <t>342</t>
        </is>
      </c>
      <c r="D50" s="3" t="inlineStr">
        <is>
          <t>344</t>
        </is>
      </c>
      <c r="E50" s="3" t="inlineStr">
        <is>
          <t>Validate the received data</t>
        </is>
      </c>
      <c r="F50" s="7" t="inlineStr">
        <is>
          <t xml:space="preserve">    PERFORM EDIT-DATA.</t>
        </is>
      </c>
      <c r="G50" s="3" t="inlineStr">
        <is>
          <t>Procedural (sem decisão nem tratamento de falha)</t>
        </is>
      </c>
      <c r="H50" s="3" t="n"/>
      <c r="I50" s="8" t="n"/>
    </row>
    <row r="51">
      <c r="A51" s="3" t="inlineStr">
        <is>
          <t>BNK1CRA-014</t>
        </is>
      </c>
      <c r="B51" s="3" t="inlineStr">
        <is>
          <t>BNK1CRA</t>
        </is>
      </c>
      <c r="C51" s="3" t="inlineStr">
        <is>
          <t>357</t>
        </is>
      </c>
      <c r="D51" s="3" t="inlineStr">
        <is>
          <t>359-366</t>
        </is>
      </c>
      <c r="E51" s="3" t="inlineStr">
        <is>
          <t>Output the data to the screen</t>
        </is>
      </c>
      <c r="F51" s="7" t="inlineStr">
        <is>
          <t xml:space="preserve">    PERFORM SEND-MAP.
PM999.
    EXIT.
RECEIVE-MAP SECTION.
RM010.</t>
        </is>
      </c>
      <c r="G51" s="3" t="inlineStr">
        <is>
          <t>Procedural (sem decisão nem tratamento de falha)</t>
        </is>
      </c>
      <c r="H51" s="3" t="n"/>
      <c r="I51" s="8" t="n"/>
    </row>
    <row r="52">
      <c r="A52" s="3" t="inlineStr">
        <is>
          <t>BNK1CRA-017</t>
        </is>
      </c>
      <c r="B52" s="3" t="inlineStr">
        <is>
          <t>BNK1CRA</t>
        </is>
      </c>
      <c r="C52" s="3" t="inlineStr">
        <is>
          <t>389</t>
        </is>
      </c>
      <c r="D52" s="3" t="inlineStr">
        <is>
          <t>391-429</t>
        </is>
      </c>
      <c r="E52" s="3" t="inlineStr">
        <is>
          <t>Get supplemental information</t>
        </is>
      </c>
      <c r="F52"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t>
        </is>
      </c>
      <c r="G52" s="3" t="inlineStr">
        <is>
          <t>Procedural (sem decisão nem tratamento de falha)</t>
        </is>
      </c>
      <c r="H52" s="3" t="inlineStr">
        <is>
          <t>comentário curto; trecho truncado (30 linhas)</t>
        </is>
      </c>
      <c r="I52" s="8" t="n"/>
    </row>
    <row r="53">
      <c r="A53" s="3" t="inlineStr">
        <is>
          <t>BNK1CRA-019</t>
        </is>
      </c>
      <c r="B53" s="3" t="inlineStr">
        <is>
          <t>BNK1CRA</t>
        </is>
      </c>
      <c r="C53" s="3" t="inlineStr">
        <is>
          <t>472</t>
        </is>
      </c>
      <c r="D53" s="3" t="inlineStr">
        <is>
          <t>474-481</t>
        </is>
      </c>
      <c r="E53" s="3" t="inlineStr">
        <is>
          <t>Validate the Amount entered</t>
        </is>
      </c>
      <c r="F53" s="7" t="inlineStr">
        <is>
          <t xml:space="preserve">    PERFORM VALIDATE-AMOUNT.
ED999.
    EXIT.
UPD-CRED-DATA SECTION.
UCD010.</t>
        </is>
      </c>
      <c r="G53" s="3" t="inlineStr">
        <is>
          <t>Procedural (sem decisão nem tratamento de falha)</t>
        </is>
      </c>
      <c r="H53" s="3" t="n"/>
      <c r="I53" s="8" t="n"/>
    </row>
    <row r="54">
      <c r="A54" s="3" t="inlineStr">
        <is>
          <t>BNK1CRA-020</t>
        </is>
      </c>
      <c r="B54" s="3" t="inlineStr">
        <is>
          <t>BNK1CRA</t>
        </is>
      </c>
      <c r="C54" s="3" t="inlineStr">
        <is>
          <t>483-484</t>
        </is>
      </c>
      <c r="D54" s="3" t="inlineStr">
        <is>
          <t>486-489</t>
        </is>
      </c>
      <c r="E54" s="3" t="inlineStr">
        <is>
          <t>Set up the COMMAREA fields required by DBCRFUN and then link to it.</t>
        </is>
      </c>
      <c r="F54" s="7" t="inlineStr">
        <is>
          <t xml:space="preserve">    INITIALIZE SUBPGM-PARMS.
    MOVE ACCNOI TO SUBPGM-ACCNO.
    MOVE 0 TO SUBPGM-AMT.</t>
        </is>
      </c>
      <c r="G54" s="3" t="inlineStr">
        <is>
          <t>Procedural (sem decisão nem tratamento de falha)</t>
        </is>
      </c>
      <c r="H54" s="3" t="n"/>
      <c r="I54" s="8" t="n"/>
    </row>
    <row r="55">
      <c r="A55" s="3" t="inlineStr">
        <is>
          <t>BNK1CRA-024</t>
        </is>
      </c>
      <c r="B55" s="3" t="inlineStr">
        <is>
          <t>BNK1CRA</t>
        </is>
      </c>
      <c r="C55" s="3" t="inlineStr">
        <is>
          <t>530</t>
        </is>
      </c>
      <c r="D55" s="3" t="inlineStr">
        <is>
          <t>532-570</t>
        </is>
      </c>
      <c r="E55" s="3" t="inlineStr">
        <is>
          <t>Get supplemental information</t>
        </is>
      </c>
      <c r="F55"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'UCD010 - LINK DBCRFUN FAIL.'
             DELIMITED BY SIZE,
             'EIBRESP=' DELIMITED BY SIZE,
             ABND-RESPCODE DELIMITED BY SIZE,
             ' RESP2=' DELIMITED BY SIZE,
             ABND-RESP2CODE DELIMITED BY SIZE
             INTO ABND-FREEFORM
       END-STRING
       EXEC CICS LINK PROGRAM(WS-ABEND-PGM)
                 COMMAREA(ABNDINFO-REC)
       END-EXEC
       INITIALIZE WS-FAIL-INFO</t>
        </is>
      </c>
      <c r="G55" s="3" t="inlineStr">
        <is>
          <t>Procedural (sem decisão nem tratamento de falha)</t>
        </is>
      </c>
      <c r="H55" s="3" t="inlineStr">
        <is>
          <t>comentário curto; trecho truncado (30 linhas)</t>
        </is>
      </c>
      <c r="I55" s="8" t="n"/>
    </row>
    <row r="56">
      <c r="A56" s="3" t="inlineStr">
        <is>
          <t>BNK1CRA-026</t>
        </is>
      </c>
      <c r="B56" s="3" t="inlineStr">
        <is>
          <t>BNK1CRA</t>
        </is>
      </c>
      <c r="C56" s="3" t="inlineStr">
        <is>
          <t>629</t>
        </is>
      </c>
      <c r="D56" s="3" t="inlineStr">
        <is>
          <t>631-644</t>
        </is>
      </c>
      <c r="E56" s="3" t="inlineStr">
        <is>
          <t>Set up the values on the map</t>
        </is>
      </c>
      <c r="F56" s="7" t="inlineStr">
        <is>
          <t xml:space="preserve">    MOVE SUBPGM-ACCNO       TO ACCNOO.
    MOVE SUBPGM-SORTC       TO SORTCO.
    MOVE SUBPGM-ACT-BAL    TO ACTUAL-BALANCE-DISPLAY.
    MOVE SUBPGM-AV-BAL     TO AVAILABLE-BALANCE-DISPLAY.
    MOVE ACTUAL-BALANCE-DISPLAY      TO ACTBALO.
    MOVE AVAILABLE-BALANCE-DISPLAY   TO AVBALO.
UCD999.
    EXIT.
SEND-MAP SECTION.
SM010.</t>
        </is>
      </c>
      <c r="G56" s="3" t="inlineStr">
        <is>
          <t>Procedural (sem decisão nem tratamento de falha)</t>
        </is>
      </c>
      <c r="H56" s="3" t="n"/>
      <c r="I56" s="8" t="n"/>
    </row>
    <row r="57">
      <c r="A57" s="3" t="inlineStr">
        <is>
          <t>BNK1CRA-029</t>
        </is>
      </c>
      <c r="B57" s="3" t="inlineStr">
        <is>
          <t>BNK1CRA</t>
        </is>
      </c>
      <c r="C57" s="3" t="inlineStr">
        <is>
          <t>668</t>
        </is>
      </c>
      <c r="D57" s="3" t="inlineStr">
        <is>
          <t>670-708</t>
        </is>
      </c>
      <c r="E57" s="3" t="inlineStr">
        <is>
          <t>Get supplemental information</t>
        </is>
      </c>
      <c r="F57"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t>
        </is>
      </c>
      <c r="G57" s="3" t="inlineStr">
        <is>
          <t>Procedural (sem decisão nem tratamento de falha)</t>
        </is>
      </c>
      <c r="H57" s="3" t="inlineStr">
        <is>
          <t>comentário curto; trecho truncado (30 linhas)</t>
        </is>
      </c>
      <c r="I57" s="8" t="n"/>
    </row>
    <row r="58">
      <c r="A58" s="3" t="inlineStr">
        <is>
          <t>BNK1CRA-032</t>
        </is>
      </c>
      <c r="B58" s="3" t="inlineStr">
        <is>
          <t>BNK1CRA</t>
        </is>
      </c>
      <c r="C58" s="3" t="inlineStr">
        <is>
          <t>742</t>
        </is>
      </c>
      <c r="D58" s="3" t="inlineStr">
        <is>
          <t>744-782</t>
        </is>
      </c>
      <c r="E58" s="3" t="inlineStr">
        <is>
          <t>Get supplemental information</t>
        </is>
      </c>
      <c r="F58"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t>
        </is>
      </c>
      <c r="G58" s="3" t="inlineStr">
        <is>
          <t>Procedural (sem decisão nem tratamento de falha)</t>
        </is>
      </c>
      <c r="H58" s="3" t="inlineStr">
        <is>
          <t>comentário curto; trecho truncado (30 linhas)</t>
        </is>
      </c>
      <c r="I58" s="8" t="n"/>
    </row>
    <row r="59">
      <c r="A59" s="3" t="inlineStr">
        <is>
          <t>BNK1CRA-035</t>
        </is>
      </c>
      <c r="B59" s="3" t="inlineStr">
        <is>
          <t>BNK1CRA</t>
        </is>
      </c>
      <c r="C59" s="3" t="inlineStr">
        <is>
          <t>817</t>
        </is>
      </c>
      <c r="D59" s="3" t="inlineStr">
        <is>
          <t>819-857</t>
        </is>
      </c>
      <c r="E59" s="3" t="inlineStr">
        <is>
          <t>Get supplemental information</t>
        </is>
      </c>
      <c r="F59"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t>
        </is>
      </c>
      <c r="G59" s="3" t="inlineStr">
        <is>
          <t>Procedural (sem decisão nem tratamento de falha)</t>
        </is>
      </c>
      <c r="H59" s="3" t="inlineStr">
        <is>
          <t>comentário curto; trecho truncado (30 linhas)</t>
        </is>
      </c>
      <c r="I59" s="8" t="n"/>
    </row>
    <row r="60">
      <c r="A60" s="3" t="inlineStr">
        <is>
          <t>BNK1CRA-038</t>
        </is>
      </c>
      <c r="B60" s="3" t="inlineStr">
        <is>
          <t>BNK1CRA</t>
        </is>
      </c>
      <c r="C60" s="3" t="inlineStr">
        <is>
          <t>895</t>
        </is>
      </c>
      <c r="D60" s="3" t="inlineStr">
        <is>
          <t>897-935</t>
        </is>
      </c>
      <c r="E60" s="3" t="inlineStr">
        <is>
          <t>Get supplemental information</t>
        </is>
      </c>
      <c r="F60"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t>
        </is>
      </c>
      <c r="G60" s="3" t="inlineStr">
        <is>
          <t>Procedural (sem decisão nem tratamento de falha)</t>
        </is>
      </c>
      <c r="H60" s="3" t="inlineStr">
        <is>
          <t>comentário curto; trecho truncado (30 linhas)</t>
        </is>
      </c>
      <c r="I60" s="8" t="n"/>
    </row>
    <row r="61">
      <c r="A61" s="3" t="inlineStr">
        <is>
          <t>BNK1TFN-008</t>
        </is>
      </c>
      <c r="B61" s="3" t="inlineStr">
        <is>
          <t>BNK1TFN</t>
        </is>
      </c>
      <c r="C61" s="3" t="inlineStr">
        <is>
          <t>238</t>
        </is>
      </c>
      <c r="D61" s="3" t="inlineStr">
        <is>
          <t>239-242</t>
        </is>
      </c>
      <c r="E61" s="3" t="inlineStr">
        <is>
          <t>MOVE 10 TO CUSTNOL</t>
        </is>
      </c>
      <c r="F61" s="7" t="inlineStr">
        <is>
          <t xml:space="preserve">          SET SEND-DATAONLY-ALARM TO TRUE
          PERFORM SEND-MAP
    END-EVALUATE.</t>
        </is>
      </c>
      <c r="G61" s="3" t="inlineStr">
        <is>
          <t>Procedural (sem decisão nem tratamento de falha)</t>
        </is>
      </c>
      <c r="H61" s="3" t="inlineStr">
        <is>
          <t>possível código desativado</t>
        </is>
      </c>
      <c r="I61" s="8" t="n"/>
    </row>
    <row r="62">
      <c r="A62" s="3" t="inlineStr">
        <is>
          <t>BNK1TFN-011</t>
        </is>
      </c>
      <c r="B62" s="3" t="inlineStr">
        <is>
          <t>BNK1TFN</t>
        </is>
      </c>
      <c r="C62" s="3" t="inlineStr">
        <is>
          <t>266</t>
        </is>
      </c>
      <c r="D62" s="3" t="inlineStr">
        <is>
          <t>268-307</t>
        </is>
      </c>
      <c r="E62" s="3" t="inlineStr">
        <is>
          <t>Get supplemental information</t>
        </is>
      </c>
      <c r="F62"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t>
        </is>
      </c>
      <c r="G62" s="3" t="inlineStr">
        <is>
          <t>Procedural (sem decisão nem tratamento de falha)</t>
        </is>
      </c>
      <c r="H62" s="3" t="inlineStr">
        <is>
          <t>comentário curto; trecho truncado (30 linhas)</t>
        </is>
      </c>
      <c r="I62" s="8" t="n"/>
    </row>
    <row r="63">
      <c r="A63" s="3" t="inlineStr">
        <is>
          <t>BNK1TFN-012</t>
        </is>
      </c>
      <c r="B63" s="3" t="inlineStr">
        <is>
          <t>BNK1TFN</t>
        </is>
      </c>
      <c r="C63" s="3" t="inlineStr">
        <is>
          <t>322</t>
        </is>
      </c>
      <c r="D63" s="3" t="inlineStr">
        <is>
          <t>325</t>
        </is>
      </c>
      <c r="E63" s="3" t="inlineStr">
        <is>
          <t>Retrieve the data from the map</t>
        </is>
      </c>
      <c r="F63" s="7" t="inlineStr">
        <is>
          <t xml:space="preserve">    PERFORM RECEIVE-MAP.</t>
        </is>
      </c>
      <c r="G63" s="3" t="inlineStr">
        <is>
          <t>Procedural (sem decisão nem tratamento de falha)</t>
        </is>
      </c>
      <c r="H63" s="3" t="n"/>
      <c r="I63" s="8" t="n"/>
    </row>
    <row r="64">
      <c r="A64" s="3" t="inlineStr">
        <is>
          <t>BNK1TFN-013</t>
        </is>
      </c>
      <c r="B64" s="3" t="inlineStr">
        <is>
          <t>BNK1TFN</t>
        </is>
      </c>
      <c r="C64" s="3" t="inlineStr">
        <is>
          <t>328</t>
        </is>
      </c>
      <c r="D64" s="3" t="inlineStr">
        <is>
          <t>330</t>
        </is>
      </c>
      <c r="E64" s="3" t="inlineStr">
        <is>
          <t>Validate the received data</t>
        </is>
      </c>
      <c r="F64" s="7" t="inlineStr">
        <is>
          <t xml:space="preserve">    PERFORM EDIT-DATA.</t>
        </is>
      </c>
      <c r="G64" s="3" t="inlineStr">
        <is>
          <t>Procedural (sem decisão nem tratamento de falha)</t>
        </is>
      </c>
      <c r="H64" s="3" t="n"/>
      <c r="I64" s="8" t="n"/>
    </row>
    <row r="65">
      <c r="A65" s="3" t="inlineStr">
        <is>
          <t>BNK1TFN-015</t>
        </is>
      </c>
      <c r="B65" s="3" t="inlineStr">
        <is>
          <t>BNK1TFN</t>
        </is>
      </c>
      <c r="C65" s="3" t="inlineStr">
        <is>
          <t>343</t>
        </is>
      </c>
      <c r="D65" s="3" t="inlineStr">
        <is>
          <t>345-352</t>
        </is>
      </c>
      <c r="E65" s="3" t="inlineStr">
        <is>
          <t>Output the data to the screen</t>
        </is>
      </c>
      <c r="F65" s="7" t="inlineStr">
        <is>
          <t xml:space="preserve">    PERFORM SEND-MAP.
PM999.
    EXIT.
RECEIVE-MAP SECTION.
RM010.</t>
        </is>
      </c>
      <c r="G65" s="3" t="inlineStr">
        <is>
          <t>Procedural (sem decisão nem tratamento de falha)</t>
        </is>
      </c>
      <c r="H65" s="3" t="n"/>
      <c r="I65" s="8" t="n"/>
    </row>
    <row r="66">
      <c r="A66" s="3" t="inlineStr">
        <is>
          <t>BNK1TFN-018</t>
        </is>
      </c>
      <c r="B66" s="3" t="inlineStr">
        <is>
          <t>BNK1TFN</t>
        </is>
      </c>
      <c r="C66" s="3" t="inlineStr">
        <is>
          <t>375</t>
        </is>
      </c>
      <c r="D66" s="3" t="inlineStr">
        <is>
          <t>377-416</t>
        </is>
      </c>
      <c r="E66" s="3" t="inlineStr">
        <is>
          <t>Get supplemental information</t>
        </is>
      </c>
      <c r="F66"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t>
        </is>
      </c>
      <c r="G66" s="3" t="inlineStr">
        <is>
          <t>Procedural (sem decisão nem tratamento de falha)</t>
        </is>
      </c>
      <c r="H66" s="3" t="inlineStr">
        <is>
          <t>comentário curto; trecho truncado (30 linhas)</t>
        </is>
      </c>
      <c r="I66" s="8" t="n"/>
    </row>
    <row r="67">
      <c r="A67" s="3" t="inlineStr">
        <is>
          <t>BNK1TFN-020</t>
        </is>
      </c>
      <c r="B67" s="3" t="inlineStr">
        <is>
          <t>BNK1TFN</t>
        </is>
      </c>
      <c r="C67" s="3" t="inlineStr">
        <is>
          <t>470</t>
        </is>
      </c>
      <c r="D67" s="3" t="inlineStr">
        <is>
          <t>472-479</t>
        </is>
      </c>
      <c r="E67" s="3" t="inlineStr">
        <is>
          <t>Validate the Amount entered</t>
        </is>
      </c>
      <c r="F67" s="7" t="inlineStr">
        <is>
          <t xml:space="preserve">    PERFORM VALIDATE-AMOUNT.
ED999.
    EXIT.
GET-ACC-DATA SECTION.
GCD010.</t>
        </is>
      </c>
      <c r="G67" s="3" t="inlineStr">
        <is>
          <t>Procedural (sem decisão nem tratamento de falha)</t>
        </is>
      </c>
      <c r="H67" s="3" t="n"/>
      <c r="I67" s="8" t="n"/>
    </row>
    <row r="68">
      <c r="A68" s="3" t="inlineStr">
        <is>
          <t>BNK1TFN-021</t>
        </is>
      </c>
      <c r="B68" s="3" t="inlineStr">
        <is>
          <t>BNK1TFN</t>
        </is>
      </c>
      <c r="C68" s="3" t="inlineStr">
        <is>
          <t>481-483</t>
        </is>
      </c>
      <c r="D68" s="3" t="inlineStr">
        <is>
          <t>485-489</t>
        </is>
      </c>
      <c r="E68" s="3" t="inlineStr">
        <is>
          <t>Set up the fields required by XFRFUN then link to it to get account information and perform the transfer, then check what gets returned.</t>
        </is>
      </c>
      <c r="F68" s="7" t="inlineStr">
        <is>
          <t xml:space="preserve">    INITIALIZE SUBPGM-PARMS.
    MOVE FACCNOI TO  SUBPGM-FACCNO.
    MOVE TACCNOI TO  SUBPGM-TACCNO.
    MOVE 'N'     TO  SUBPGM-SUCCESS.</t>
        </is>
      </c>
      <c r="G68" s="3" t="inlineStr">
        <is>
          <t>Procedural (sem decisão nem tratamento de falha)</t>
        </is>
      </c>
      <c r="H68" s="3" t="inlineStr">
        <is>
          <t>comentário menciona condição: reavaliar</t>
        </is>
      </c>
      <c r="I68" s="8" t="n"/>
    </row>
    <row r="69">
      <c r="A69" s="3" t="inlineStr">
        <is>
          <t>BNK1TFN-024</t>
        </is>
      </c>
      <c r="B69" s="3" t="inlineStr">
        <is>
          <t>BNK1TFN</t>
        </is>
      </c>
      <c r="C69" s="3" t="inlineStr">
        <is>
          <t>515</t>
        </is>
      </c>
      <c r="D69" s="3" t="inlineStr">
        <is>
          <t>517-555</t>
        </is>
      </c>
      <c r="E69" s="3" t="inlineStr">
        <is>
          <t>Get supplemental information</t>
        </is>
      </c>
      <c r="F69"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t>
        </is>
      </c>
      <c r="G69" s="3" t="inlineStr">
        <is>
          <t>Procedural (sem decisão nem tratamento de falha)</t>
        </is>
      </c>
      <c r="H69" s="3" t="inlineStr">
        <is>
          <t>comentário curto; trecho truncado (30 linhas)</t>
        </is>
      </c>
      <c r="I69" s="8" t="n"/>
    </row>
    <row r="70">
      <c r="A70" s="3" t="inlineStr">
        <is>
          <t>BNK1TFN-025</t>
        </is>
      </c>
      <c r="B70" s="3" t="inlineStr">
        <is>
          <t>BNK1TFN</t>
        </is>
      </c>
      <c r="C70" s="3" t="inlineStr">
        <is>
          <t>564</t>
        </is>
      </c>
      <c r="D70" s="3" t="inlineStr">
        <is>
          <t>566-577</t>
        </is>
      </c>
      <c r="E70" s="3" t="inlineStr">
        <is>
          <t>Map the returned data to the screen output fields</t>
        </is>
      </c>
      <c r="F70" s="7" t="inlineStr">
        <is>
          <t xml:space="preserve">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t>
        </is>
      </c>
      <c r="G70" s="3" t="inlineStr">
        <is>
          <t>Procedural (sem decisão nem tratamento de falha)</t>
        </is>
      </c>
      <c r="H70" s="3" t="n"/>
      <c r="I70" s="8" t="n"/>
    </row>
    <row r="71">
      <c r="A71" s="3" t="inlineStr">
        <is>
          <t>BNK1TFN-027</t>
        </is>
      </c>
      <c r="B71" s="3" t="inlineStr">
        <is>
          <t>BNK1TFN</t>
        </is>
      </c>
      <c r="C71" s="3" t="inlineStr">
        <is>
          <t>643</t>
        </is>
      </c>
      <c r="D71" s="3" t="inlineStr">
        <is>
          <t>645-663</t>
        </is>
      </c>
      <c r="E71" s="3" t="inlineStr">
        <is>
          <t>Map the remaining fields</t>
        </is>
      </c>
      <c r="F71" s="7" t="inlineStr">
        <is>
          <t xml:space="preserve">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t>
        </is>
      </c>
      <c r="G71" s="3" t="inlineStr">
        <is>
          <t>Procedural (sem decisão nem tratamento de falha)</t>
        </is>
      </c>
      <c r="H71" s="3" t="n"/>
      <c r="I71" s="8" t="n"/>
    </row>
    <row r="72">
      <c r="A72" s="3" t="inlineStr">
        <is>
          <t>BNK1TFN-030</t>
        </is>
      </c>
      <c r="B72" s="3" t="inlineStr">
        <is>
          <t>BNK1TFN</t>
        </is>
      </c>
      <c r="C72" s="3" t="inlineStr">
        <is>
          <t>691</t>
        </is>
      </c>
      <c r="D72" s="3" t="inlineStr">
        <is>
          <t>693-731</t>
        </is>
      </c>
      <c r="E72" s="3" t="inlineStr">
        <is>
          <t>Get supplemental information</t>
        </is>
      </c>
      <c r="F72"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t>
        </is>
      </c>
      <c r="G72" s="3" t="inlineStr">
        <is>
          <t>Procedural (sem decisão nem tratamento de falha)</t>
        </is>
      </c>
      <c r="H72" s="3" t="inlineStr">
        <is>
          <t>comentário curto; trecho truncado (30 linhas)</t>
        </is>
      </c>
      <c r="I72" s="8" t="n"/>
    </row>
    <row r="73">
      <c r="A73" s="3" t="inlineStr">
        <is>
          <t>BNK1TFN-033</t>
        </is>
      </c>
      <c r="B73" s="3" t="inlineStr">
        <is>
          <t>BNK1TFN</t>
        </is>
      </c>
      <c r="C73" s="3" t="inlineStr">
        <is>
          <t>765</t>
        </is>
      </c>
      <c r="D73" s="3" t="inlineStr">
        <is>
          <t>767-805</t>
        </is>
      </c>
      <c r="E73" s="3" t="inlineStr">
        <is>
          <t>Get supplemental information</t>
        </is>
      </c>
      <c r="F73"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t>
        </is>
      </c>
      <c r="G73" s="3" t="inlineStr">
        <is>
          <t>Procedural (sem decisão nem tratamento de falha)</t>
        </is>
      </c>
      <c r="H73" s="3" t="inlineStr">
        <is>
          <t>comentário curto; trecho truncado (30 linhas)</t>
        </is>
      </c>
      <c r="I73" s="8" t="n"/>
    </row>
    <row r="74">
      <c r="A74" s="3" t="inlineStr">
        <is>
          <t>BNK1TFN-036</t>
        </is>
      </c>
      <c r="B74" s="3" t="inlineStr">
        <is>
          <t>BNK1TFN</t>
        </is>
      </c>
      <c r="C74" s="3" t="inlineStr">
        <is>
          <t>840</t>
        </is>
      </c>
      <c r="D74" s="3" t="inlineStr">
        <is>
          <t>842-880</t>
        </is>
      </c>
      <c r="E74" s="3" t="inlineStr">
        <is>
          <t>Get supplemental information</t>
        </is>
      </c>
      <c r="F74"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t>
        </is>
      </c>
      <c r="G74" s="3" t="inlineStr">
        <is>
          <t>Procedural (sem decisão nem tratamento de falha)</t>
        </is>
      </c>
      <c r="H74" s="3" t="inlineStr">
        <is>
          <t>comentário curto; trecho truncado (30 linhas)</t>
        </is>
      </c>
      <c r="I74" s="8" t="n"/>
    </row>
    <row r="75">
      <c r="A75" s="3" t="inlineStr">
        <is>
          <t>BNK1TFN-039</t>
        </is>
      </c>
      <c r="B75" s="3" t="inlineStr">
        <is>
          <t>BNK1TFN</t>
        </is>
      </c>
      <c r="C75" s="3" t="inlineStr">
        <is>
          <t>918</t>
        </is>
      </c>
      <c r="D75" s="3" t="inlineStr">
        <is>
          <t>920-958</t>
        </is>
      </c>
      <c r="E75" s="3" t="inlineStr">
        <is>
          <t>Get supplemental information</t>
        </is>
      </c>
      <c r="F75" s="7"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t>
        </is>
      </c>
      <c r="G75" s="3" t="inlineStr">
        <is>
          <t>Procedural (sem decisão nem tratamento de falha)</t>
        </is>
      </c>
      <c r="H75" s="3" t="inlineStr">
        <is>
          <t>comentário curto; trecho truncado (30 linhas)</t>
        </is>
      </c>
      <c r="I75" s="8" t="n"/>
    </row>
    <row r="76">
      <c r="A76" s="3" t="inlineStr">
        <is>
          <t>BNK1TFN-049</t>
        </is>
      </c>
      <c r="B76" s="3" t="inlineStr">
        <is>
          <t>BNK1TFN</t>
        </is>
      </c>
      <c r="C76" s="3" t="inlineStr">
        <is>
          <t>1210</t>
        </is>
      </c>
      <c r="D76" s="3" t="inlineStr">
        <is>
          <t>1212-1224</t>
        </is>
      </c>
      <c r="E76" s="3" t="inlineStr">
        <is>
          <t>Fomate the date and time</t>
        </is>
      </c>
      <c r="F76" s="7" t="inlineStr">
        <is>
          <t xml:space="preserve">    EXEC CICS ASKTIME
       ABSTIME(WS-U-TIME)
    END-EXEC.
    EXEC CICS FORMATTIME
              ABSTIME(WS-U-TIME)
              DDMMYYYY(WS-ORIG-DATE)
              TIME(WS-TIME-NOW)
              DATESEP
    END-EXEC.
PTD999.
    EXIT.</t>
        </is>
      </c>
      <c r="G76" s="3" t="inlineStr">
        <is>
          <t>Procedural (sem decisão nem tratamento de falha)</t>
        </is>
      </c>
      <c r="H76" s="3" t="n"/>
      <c r="I76" s="8" t="n"/>
    </row>
  </sheetData>
  <autoFilter ref="A1:I76"/>
  <dataValidations count="1">
    <dataValidation sqref="I2:I76" showDropDown="0" showInputMessage="0" showErrorMessage="0" allowBlank="1" type="list">
      <formula1>"Manter descartado,Reincluir"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2026-09-26T22:01:08Z</dcterms:created>
  <dcterms:modified xsi:type="dcterms:W3CDTF">2026-09-26T22:01:08Z</dcterms:modified>
</cp:coreProperties>
</file>